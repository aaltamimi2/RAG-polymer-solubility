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140" yWindow="-5240" windowWidth="26360" windowHeight="17500" tabRatio="600" firstSheet="0" activeTab="1" autoFilterDateGrouping="1"/>
  </bookViews>
  <sheets>
    <sheet xmlns:r="http://schemas.openxmlformats.org/officeDocument/2006/relationships" name="StrapScenario1 Copia" sheetId="1" state="hidden" r:id="rId1"/>
    <sheet xmlns:r="http://schemas.openxmlformats.org/officeDocument/2006/relationships" name="StrapScenario1 Units" sheetId="2" state="visible" r:id="rId2"/>
    <sheet xmlns:r="http://schemas.openxmlformats.org/officeDocument/2006/relationships" name="Sheet3" sheetId="3" state="hidden" r:id="rId3"/>
    <sheet xmlns:r="http://schemas.openxmlformats.org/officeDocument/2006/relationships" name="StrapScenario1" sheetId="4" state="hidden" r:id="rId4"/>
    <sheet xmlns:r="http://schemas.openxmlformats.org/officeDocument/2006/relationships" name="Shared STRAP Scenario Units" sheetId="5" state="visible" r:id="rId5"/>
    <sheet xmlns:r="http://schemas.openxmlformats.org/officeDocument/2006/relationships" name="Shared STRAP Scenario" sheetId="6" state="visible" r:id="rId6"/>
    <sheet xmlns:r="http://schemas.openxmlformats.org/officeDocument/2006/relationships" name="StrapScenario2" sheetId="7" state="visible" r:id="rId7"/>
    <sheet xmlns:r="http://schemas.openxmlformats.org/officeDocument/2006/relationships" name="StrapScenario2 Units" sheetId="8" state="visible" r:id="rId8"/>
    <sheet xmlns:r="http://schemas.openxmlformats.org/officeDocument/2006/relationships" name="StrapScenario2 Units elec" sheetId="9" state="visible" r:id="rId9"/>
    <sheet xmlns:r="http://schemas.openxmlformats.org/officeDocument/2006/relationships" name="StrapScenario3 Units" sheetId="10" state="visible" r:id="rId10"/>
    <sheet xmlns:r="http://schemas.openxmlformats.org/officeDocument/2006/relationships" name="Othertech w TransportA" sheetId="11" state="visible" r:id="rId11"/>
    <sheet xmlns:r="http://schemas.openxmlformats.org/officeDocument/2006/relationships" name="Othertech w TransportB" sheetId="12" state="visible" r:id="rId12"/>
    <sheet xmlns:r="http://schemas.openxmlformats.org/officeDocument/2006/relationships" name="Othertech" sheetId="13" state="visible" r:id="rId13"/>
    <sheet xmlns:r="http://schemas.openxmlformats.org/officeDocument/2006/relationships" name="New REsults" sheetId="14" state="visible" r:id="rId14"/>
    <sheet xmlns:r="http://schemas.openxmlformats.org/officeDocument/2006/relationships" name="Results OPT" sheetId="15" state="hidden" r:id="rId15"/>
    <sheet xmlns:r="http://schemas.openxmlformats.org/officeDocument/2006/relationships" name="Old Results" sheetId="16" state="hidden" r:id="rId16"/>
    <sheet xmlns:r="http://schemas.openxmlformats.org/officeDocument/2006/relationships" name="Shredder" sheetId="17" state="hidden" r:id="rId17"/>
    <sheet xmlns:r="http://schemas.openxmlformats.org/officeDocument/2006/relationships" name="StrapScenario3" sheetId="18" state="hidden" r:id="rId18"/>
    <sheet xmlns:r="http://schemas.openxmlformats.org/officeDocument/2006/relationships" name="Sheet1" sheetId="19" state="hidden" r:id="rId19"/>
    <sheet xmlns:r="http://schemas.openxmlformats.org/officeDocument/2006/relationships" name="Final Results December" sheetId="20" state="visible" r:id="rId20"/>
    <sheet xmlns:r="http://schemas.openxmlformats.org/officeDocument/2006/relationships" name="Interpolation" sheetId="21" state="visible" r:id="rId21"/>
  </sheets>
  <externalReferences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/>
  <calcPr calcId="191029" fullCalcOnLoad="1" iterate="1" iterateDelta="1e-05"/>
</workbook>
</file>

<file path=xl/styles.xml><?xml version="1.0" encoding="utf-8"?>
<styleSheet xmlns="http://schemas.openxmlformats.org/spreadsheetml/2006/main">
  <numFmts count="4">
    <numFmt numFmtId="164" formatCode="0.00000E+00"/>
    <numFmt numFmtId="165" formatCode="0.00000000"/>
    <numFmt numFmtId="166" formatCode="0.0000000"/>
    <numFmt numFmtId="167" formatCode="0.000E+00"/>
  </numFmts>
  <fonts count="16">
    <font>
      <name val="Calibri"/>
      <family val="2"/>
      <color theme="1"/>
      <sz val="12"/>
      <scheme val="minor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</font>
    <font>
      <name val="Helvetica Neue"/>
      <family val="2"/>
      <color rgb="FF000000"/>
      <sz val="12"/>
    </font>
    <font>
      <name val="Calibri"/>
      <family val="2"/>
      <b val="1"/>
      <color theme="1"/>
      <sz val="12"/>
      <scheme val="minor"/>
    </font>
    <font>
      <name val="Courier New"/>
      <family val="1"/>
      <color rgb="FF000000"/>
      <sz val="14"/>
    </font>
    <font>
      <name val="Courier New"/>
      <family val="1"/>
      <color rgb="FF000000"/>
      <sz val="10"/>
    </font>
    <font>
      <name val="Calibri"/>
      <family val="2"/>
      <color rgb="FFC0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rgb="FF000000"/>
      <sz val="12"/>
      <scheme val="minor"/>
    </font>
    <font>
      <name val="Courier New"/>
      <family val="1"/>
      <color rgb="FFFF0000"/>
      <sz val="14"/>
    </font>
    <font>
      <name val="Courier New"/>
      <family val="1"/>
      <color rgb="FF303F9F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1" fontId="0" fillId="0" borderId="0" pivotButton="0" quotePrefix="0" xfId="0"/>
    <xf numFmtId="0" fontId="0" fillId="2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11" fontId="5" fillId="0" borderId="0" pivotButton="0" quotePrefix="0" xfId="0"/>
    <xf numFmtId="0" fontId="6" fillId="0" borderId="0" pivotButton="0" quotePrefix="0" xfId="0"/>
    <xf numFmtId="0" fontId="0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0" fillId="0" borderId="0" applyProtection="1" pivotButton="0" quotePrefix="0" xfId="0">
      <protection locked="0" hidden="0"/>
    </xf>
    <xf numFmtId="0" fontId="8" fillId="0" borderId="0" pivotButton="0" quotePrefix="0" xfId="0"/>
    <xf numFmtId="11" fontId="0" fillId="0" borderId="0" applyAlignment="1" pivotButton="0" quotePrefix="0" xfId="0">
      <alignment wrapText="1"/>
    </xf>
    <xf numFmtId="11" fontId="8" fillId="0" borderId="0" pivotButton="0" quotePrefix="0" xfId="0"/>
    <xf numFmtId="11" fontId="8" fillId="0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0" fillId="3" borderId="0" applyAlignment="1" applyProtection="1" pivotButton="0" quotePrefix="0" xfId="0">
      <alignment wrapText="1"/>
      <protection locked="0" hidden="0"/>
    </xf>
    <xf numFmtId="2" fontId="8" fillId="0" borderId="0" pivotButton="0" quotePrefix="0" xfId="0"/>
    <xf numFmtId="2" fontId="8" fillId="0" borderId="1" pivotButton="0" quotePrefix="0" xfId="0"/>
    <xf numFmtId="2" fontId="0" fillId="0" borderId="0" pivotButton="0" quotePrefix="0" xfId="0"/>
    <xf numFmtId="0" fontId="7" fillId="0" borderId="0" applyAlignment="1" pivotButton="0" quotePrefix="0" xfId="0">
      <alignment horizontal="center"/>
    </xf>
    <xf numFmtId="16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1" fontId="4" fillId="0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0" fillId="3" borderId="1" pivotButton="0" quotePrefix="0" xfId="0"/>
    <xf numFmtId="164" fontId="8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11" fontId="9" fillId="0" borderId="0" pivotButton="0" quotePrefix="0" xfId="0"/>
    <xf numFmtId="164" fontId="0" fillId="3" borderId="0" pivotButton="0" quotePrefix="0" xfId="0"/>
    <xf numFmtId="164" fontId="8" fillId="3" borderId="0" pivotButton="0" quotePrefix="0" xfId="0"/>
    <xf numFmtId="0" fontId="0" fillId="7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7" fillId="8" borderId="1" pivotButton="0" quotePrefix="0" xfId="0"/>
    <xf numFmtId="0" fontId="0" fillId="8" borderId="1" pivotButton="0" quotePrefix="0" xfId="0"/>
    <xf numFmtId="0" fontId="0" fillId="0" borderId="3" pivotButton="0" quotePrefix="0" xfId="0"/>
    <xf numFmtId="0" fontId="0" fillId="0" borderId="0" pivotButton="0" quotePrefix="1" xfId="0"/>
    <xf numFmtId="0" fontId="0" fillId="9" borderId="0" pivotButton="0" quotePrefix="0" xfId="0"/>
    <xf numFmtId="0" fontId="8" fillId="10" borderId="0" pivotButton="0" quotePrefix="0" xfId="0"/>
    <xf numFmtId="0" fontId="0" fillId="10" borderId="1" pivotButton="0" quotePrefix="0" xfId="0"/>
    <xf numFmtId="0" fontId="0" fillId="10" borderId="0" pivotButton="0" quotePrefix="0" xfId="0"/>
    <xf numFmtId="11" fontId="8" fillId="10" borderId="0" pivotButton="0" quotePrefix="0" xfId="0"/>
    <xf numFmtId="0" fontId="10" fillId="0" borderId="0" pivotButton="0" quotePrefix="0" xfId="0"/>
    <xf numFmtId="0" fontId="0" fillId="0" borderId="4" pivotButton="0" quotePrefix="0" xfId="0"/>
    <xf numFmtId="0" fontId="7" fillId="0" borderId="5" pivotButton="0" quotePrefix="0" xfId="0"/>
    <xf numFmtId="9" fontId="0" fillId="0" borderId="0" pivotButton="0" quotePrefix="0" xfId="0"/>
    <xf numFmtId="0" fontId="4" fillId="0" borderId="3" pivotButton="0" quotePrefix="0" xfId="0"/>
    <xf numFmtId="0" fontId="12" fillId="0" borderId="1" pivotButton="0" quotePrefix="0" xfId="0"/>
    <xf numFmtId="0" fontId="12" fillId="0" borderId="6" pivotButton="0" quotePrefix="0" xfId="0"/>
    <xf numFmtId="0" fontId="12" fillId="0" borderId="2" pivotButton="0" quotePrefix="0" xfId="0"/>
    <xf numFmtId="0" fontId="12" fillId="0" borderId="7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165" fontId="8" fillId="0" borderId="0" pivotButton="0" quotePrefix="0" xfId="0"/>
    <xf numFmtId="165" fontId="11" fillId="0" borderId="0" pivotButton="0" quotePrefix="0" xfId="0"/>
    <xf numFmtId="0" fontId="11" fillId="0" borderId="0" pivotButton="0" quotePrefix="0" xfId="0"/>
    <xf numFmtId="166" fontId="11" fillId="0" borderId="0" pivotButton="0" quotePrefix="0" xfId="0"/>
    <xf numFmtId="2" fontId="11" fillId="0" borderId="0" pivotButton="0" quotePrefix="0" xfId="0"/>
    <xf numFmtId="0" fontId="13" fillId="0" borderId="0" pivotButton="0" quotePrefix="0" xfId="0"/>
    <xf numFmtId="0" fontId="11" fillId="0" borderId="1" applyAlignment="1" pivotButton="0" quotePrefix="0" xfId="0">
      <alignment wrapText="1"/>
    </xf>
    <xf numFmtId="2" fontId="11" fillId="0" borderId="0" applyAlignment="1" pivotButton="0" quotePrefix="0" xfId="0">
      <alignment wrapText="1"/>
    </xf>
    <xf numFmtId="0" fontId="12" fillId="0" borderId="0" pivotButton="0" quotePrefix="0" xfId="0"/>
    <xf numFmtId="0" fontId="0" fillId="0" borderId="9" pivotButton="0" quotePrefix="0" xfId="0"/>
    <xf numFmtId="0" fontId="8" fillId="2" borderId="0" pivotButton="0" quotePrefix="0" xfId="0"/>
    <xf numFmtId="0" fontId="0" fillId="2" borderId="0" pivotButton="0" quotePrefix="0" xfId="0"/>
    <xf numFmtId="0" fontId="14" fillId="0" borderId="0" pivotButton="0" quotePrefix="0" xfId="0"/>
    <xf numFmtId="167" fontId="0" fillId="0" borderId="0" pivotButton="0" quotePrefix="0" xfId="0"/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5" fillId="0" borderId="10" applyAlignment="1" applyProtection="1" pivotButton="0" quotePrefix="0" xfId="0">
      <alignment horizontal="center" vertical="top"/>
      <protection locked="0" hidden="0"/>
    </xf>
    <xf numFmtId="0" fontId="0" fillId="0" borderId="8" pivotButton="0" quotePrefix="0" xfId="0"/>
    <xf numFmtId="165" fontId="11" fillId="0" borderId="0" pivotButton="0" quotePrefix="0" xfId="0"/>
    <xf numFmtId="165" fontId="8" fillId="0" borderId="0" pivotButton="0" quotePrefix="0" xfId="0"/>
    <xf numFmtId="166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externalLink" Target="/xl/externalLinks/externalLink1.xml" Id="rId22"/><Relationship Type="http://schemas.openxmlformats.org/officeDocument/2006/relationships/externalLink" Target="/xl/externalLinks/externalLink2.xml" Id="rId23"/><Relationship Type="http://schemas.openxmlformats.org/officeDocument/2006/relationships/externalLink" Target="/xl/externalLinks/externalLink3.xml" Id="rId24"/><Relationship Type="http://schemas.openxmlformats.org/officeDocument/2006/relationships/externalLink" Target="/xl/externalLinks/externalLink4.xml" Id="rId25"/><Relationship Type="http://schemas.openxmlformats.org/officeDocument/2006/relationships/externalLink" Target="/xl/externalLinks/externalLink5.xml" Id="rId26"/><Relationship Type="http://schemas.openxmlformats.org/officeDocument/2006/relationships/externalLink" Target="/xl/externalLinks/externalLink6.xml" Id="rId27"/><Relationship Type="http://schemas.openxmlformats.org/officeDocument/2006/relationships/externalLink" Target="/xl/externalLinks/externalLink7.xml" Id="rId28"/><Relationship Type="http://schemas.openxmlformats.org/officeDocument/2006/relationships/externalLink" Target="/xl/externalLinks/externalLink8.xml" Id="rId29"/><Relationship Type="http://schemas.openxmlformats.org/officeDocument/2006/relationships/externalLink" Target="/xl/externalLinks/externalLink9.xml" Id="rId30"/><Relationship Type="http://schemas.openxmlformats.org/officeDocument/2006/relationships/externalLink" Target="/xl/externalLinks/externalLink10.xml" Id="rId31"/><Relationship Type="http://schemas.openxmlformats.org/officeDocument/2006/relationships/externalLink" Target="/xl/externalLinks/externalLink11.xml" Id="rId32"/><Relationship Type="http://schemas.openxmlformats.org/officeDocument/2006/relationships/externalLink" Target="/xl/externalLinks/externalLink12.xml" Id="rId33"/><Relationship Type="http://schemas.openxmlformats.org/officeDocument/2006/relationships/externalLink" Target="/xl/externalLinks/externalLink13.xml" Id="rId34"/><Relationship Type="http://schemas.openxmlformats.org/officeDocument/2006/relationships/externalLink" Target="/xl/externalLinks/externalLink14.xml" Id="rId35"/><Relationship Type="http://schemas.openxmlformats.org/officeDocument/2006/relationships/externalLink" Target="/xl/externalLinks/externalLink15.xml" Id="rId36"/><Relationship Type="http://schemas.openxmlformats.org/officeDocument/2006/relationships/externalLink" Target="/xl/externalLinks/externalLink16.xml" Id="rId37"/><Relationship Type="http://schemas.openxmlformats.org/officeDocument/2006/relationships/externalLink" Target="/xl/externalLinks/externalLink17.xml" Id="rId38"/><Relationship Type="http://schemas.openxmlformats.org/officeDocument/2006/relationships/externalLink" Target="/xl/externalLinks/externalLink18.xml" Id="rId39"/><Relationship Type="http://schemas.openxmlformats.org/officeDocument/2006/relationships/externalLink" Target="/xl/externalLinks/externalLink19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Sheet3!$B$4:$B$11</f>
              <numCache>
                <formatCode>0.00E+00</formatCode>
                <ptCount val="8"/>
                <pt idx="2">
                  <v>4476300.1375</v>
                </pt>
                <pt idx="3">
                  <v>7876773.91699999</v>
                </pt>
                <pt idx="4">
                  <v>8187132.29299999</v>
                </pt>
              </numCache>
            </numRef>
          </xVal>
          <yVal>
            <numRef>
              <f>Sheet3!$C$4:$C$11</f>
              <numCache>
                <formatCode>General</formatCode>
                <ptCount val="8"/>
                <pt idx="2">
                  <v>0.72363450473005</v>
                </pt>
                <pt idx="3">
                  <v>0.710328139763828</v>
                </pt>
                <pt idx="4">
                  <v>0.695568815275271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9724112"/>
        <axId val="19500480"/>
      </scatterChart>
      <valAx>
        <axId val="1972411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500480"/>
        <crosses val="autoZero"/>
        <crossBetween val="midCat"/>
      </valAx>
      <valAx>
        <axId val="195004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724112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</trendlineLbl>
          </trendline>
          <xVal>
            <numRef>
              <f>Interpolation!$G$10:$G$17</f>
              <numCache>
                <formatCode>General</formatCode>
                <ptCount val="8"/>
                <pt idx="0">
                  <formatCode>0.00E+00</formatCode>
                  <v>16061648</v>
                </pt>
                <pt idx="7">
                  <v>0</v>
                </pt>
              </numCache>
            </numRef>
          </xVal>
          <yVal>
            <numRef>
              <f>Interpolation!$H$10:$H$17</f>
              <numCache>
                <formatCode>General</formatCode>
                <ptCount val="8"/>
                <pt idx="0">
                  <v>1</v>
                </pt>
                <pt idx="7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63986031"/>
        <axId val="2063907439"/>
      </scatterChart>
      <valAx>
        <axId val="206398603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E+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63907439"/>
        <crosses val="autoZero"/>
        <crossBetween val="midCat"/>
      </valAx>
      <valAx>
        <axId val="2063907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63986031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tc={B3981891-7F09-AB4A-A3F6-E2A0A8531762}</author>
  </authors>
  <commentList>
    <comment ref="M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2.xml><?xml version="1.0" encoding="utf-8"?>
<comments xmlns="http://schemas.openxmlformats.org/spreadsheetml/2006/main">
  <authors>
    <author>tc={C7E738EB-E561-564B-85B6-FD92A835F48F}</author>
    <author>tc={743EC1AD-F75C-7B4E-847F-0EA171A98237}</author>
    <author>tc={72D60E32-DC31-4F45-8C92-708E7321C5F4}</author>
    <author>tc={FA60389E-FD8C-554A-A3CC-7740005CB295}</author>
    <author>tc={FC00E650-6C26-3A48-B6AE-6FC28081828F}</author>
    <author>tc={C57D0D1D-0D9A-AD41-876E-79356CD9FB84}</author>
  </authors>
  <commentList>
    <comment ref="D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multiplied by capacity to have per year</t>
      </text>
    </comment>
    <comment ref="E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for scenario 2 and 3. for this one no changes required just 0
</t>
      </text>
    </comment>
    <comment ref="F1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made equal to GWP
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multiplied by capacity to have per ton but also divided by 1000 to have ton/yr</t>
      </text>
    </comment>
    <comment ref="O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multiplied by capacity to have per year
</t>
      </text>
    </comment>
    <comment ref="P1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divided by 20 year of lifetime
</t>
      </text>
    </comment>
  </commentList>
</comments>
</file>

<file path=xl/comments/comment3.xml><?xml version="1.0" encoding="utf-8"?>
<comments xmlns="http://schemas.openxmlformats.org/spreadsheetml/2006/main">
  <authors>
    <author>tc={BD0127E6-979A-FB41-8688-E7F9099D15AB}</author>
    <author>tc={C4CE7EA1-DE20-4346-B32E-3A4FD52EE2B9}</author>
  </authors>
  <commentList>
    <comment ref="D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shredder values for wheneber is needed.
</t>
      </text>
    </comment>
    <comment ref="L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4.xml><?xml version="1.0" encoding="utf-8"?>
<comments xmlns="http://schemas.openxmlformats.org/spreadsheetml/2006/main">
  <authors>
    <author>tc={89C09876-179B-634C-883D-3B153BF8604F}</author>
    <author>tc={D8E28A2C-B705-1342-956E-A829F91265A3}</author>
  </authors>
  <commentList>
    <comment ref="E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was multiplied by capacity to get per year and then multiplied by 12% electricity that comes from renewale</t>
      </text>
    </comment>
    <comment ref="L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5.xml><?xml version="1.0" encoding="utf-8"?>
<comments xmlns="http://schemas.openxmlformats.org/spreadsheetml/2006/main">
  <authors>
    <author>tc={6DDFC06C-AA00-4440-BE0E-06CC21D0450A}</author>
  </authors>
  <commentList>
    <comment ref="L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6.xml><?xml version="1.0" encoding="utf-8"?>
<comments xmlns="http://schemas.openxmlformats.org/spreadsheetml/2006/main">
  <authors>
    <author>tc={52EF2557-B911-044A-AE82-B73094E290F7}</author>
  </authors>
  <commentList>
    <comment ref="L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7.xml><?xml version="1.0" encoding="utf-8"?>
<comments xmlns="http://schemas.openxmlformats.org/spreadsheetml/2006/main">
  <authors>
    <author>tc={445B992A-7A05-444F-8DB9-97E310A4D0E3}</author>
    <author>tc={F9FB5801-F0B2-2A40-8ABE-DEEC4D0ADAE5}</author>
  </authors>
  <commentList>
    <comment ref="E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was multiplied by capacity to get per year and then multiplied by 12% electricity that comes from renewale</t>
      </text>
    </comment>
    <comment ref="L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8.xml><?xml version="1.0" encoding="utf-8"?>
<comments xmlns="http://schemas.openxmlformats.org/spreadsheetml/2006/main">
  <authors>
    <author>tc={37068366-A168-B642-A425-3A87C25EF5AD}</author>
  </authors>
  <commentList>
    <comment ref="L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9.xml><?xml version="1.0" encoding="utf-8"?>
<comments xmlns="http://schemas.openxmlformats.org/spreadsheetml/2006/main">
  <authors>
    <author>tc={4A06660C-5E1D-4D4D-A20F-163B906026A3}</author>
    <author>tc={34F31CBF-3016-B94D-AD56-8DB114E1ADAC}</author>
    <author>tc={64F97381-2DCD-7347-BBA1-BFDBB2A806A7}</author>
  </authors>
  <commentList>
    <comment ref="D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 this sheet I am using the recovered version of the file. should be the same</t>
      </text>
    </comment>
    <comment ref="E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was multiplied by capacity to get per year and then multiplied by 12% electricity that comes from renewale</t>
      </text>
    </comment>
    <comment ref="L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10.xml><?xml version="1.0" encoding="utf-8"?>
<comments xmlns="http://schemas.openxmlformats.org/spreadsheetml/2006/main">
  <authors>
    <author>tc={95A50471-54A5-9948-B634-9FFDD4906016}</author>
    <author>tc={1A442ADD-93DF-B94C-8AAD-801B44736E1B}</author>
    <author>tc={F0A49847-72E2-EA48-88AE-3CA79931CF79}</author>
    <author>tc={D2C3DCF8-5E44-D645-99F1-9FBE41D1C03A}</author>
    <author>tc={EF040375-56A7-8445-8409-F4E99785DC47}</author>
  </authors>
  <commentList>
    <comment ref="N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USD per ton</t>
      </text>
    </comment>
    <comment ref="O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USD per ton</t>
      </text>
    </comment>
    <comment ref="O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assuming we sell it. cause we consider we use the existing one</t>
      </text>
    </comment>
    <comment ref="A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(just) Pyrolysis to pyr oil
</t>
      </text>
    </comment>
    <comment ref="D4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Debating between moving to 0.20679 (my own calculation based on electricity,water and NG)</t>
      </text>
    </comment>
  </commentList>
</comments>
</file>

<file path=xl/comments/comment11.xml><?xml version="1.0" encoding="utf-8"?>
<comments xmlns="http://schemas.openxmlformats.org/spreadsheetml/2006/main">
  <authors>
    <author>tc={82369729-D367-AE4D-B6C1-F17BDFAB0239}</author>
    <author>tc={01B15662-2786-5D4C-BD95-14F759165733}</author>
    <author>tc={882BAF25-9A36-9E47-9BB5-95BC7CADE301}</author>
    <author>tc={19C93217-431C-334E-8FF4-F84D49249665}</author>
    <author>tc={046A4C1F-AF39-4A4A-91AB-67510A6B60B2}</author>
  </authors>
  <commentList>
    <comment ref="N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USD per ton</t>
      </text>
    </comment>
    <comment ref="O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USD per ton</t>
      </text>
    </comment>
    <comment ref="O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assuming we sell it. cause we consider we use the existing one</t>
      </text>
    </comment>
    <comment ref="A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(just) Pyrolysis to pyr oil
</t>
      </text>
    </comment>
    <comment ref="D4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Debating between moving to 0.20679 (my own calculation based on electricity,water and NG)</t>
      </text>
    </comment>
  </commentList>
</comments>
</file>

<file path=xl/comments/comment12.xml><?xml version="1.0" encoding="utf-8"?>
<comments xmlns="http://schemas.openxmlformats.org/spreadsheetml/2006/main">
  <authors>
    <author>tc={93E2962E-3CCA-1D4D-BC67-A44F6FCFC30A}</author>
    <author>tc={C320860E-BC41-5B49-A99A-5F136F89FC01}</author>
    <author>tc={ED5FB639-DD19-2642-AFE2-18389371A3CC}</author>
    <author>tc={4A8860E0-19C5-A147-A23E-827261973817}</author>
    <author>tc={2F997FA1-78EF-CA40-AB85-188F964C3441}</author>
  </authors>
  <commentList>
    <comment ref="N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USD per ton</t>
      </text>
    </comment>
    <comment ref="O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USD per ton</t>
      </text>
    </comment>
    <comment ref="O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assuming we sell it. cause we consider we use the existing one</t>
      </text>
    </comment>
    <comment ref="A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(just) Pyrolysis to pyr oil
</t>
      </text>
    </comment>
    <comment ref="D4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Debating between moving to 0.20679 (my own calculation based on electricity,water and NG)</t>
      </text>
    </comment>
  </commentList>
</comments>
</file>

<file path=xl/comments/comment13.xml><?xml version="1.0" encoding="utf-8"?>
<comments xmlns="http://schemas.openxmlformats.org/spreadsheetml/2006/main">
  <authors>
    <author>tc={B98E65ED-FC52-F447-AB8B-943C995E49DA}</author>
  </authors>
  <commentList>
    <comment ref="B2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getting paretos fpr scenario 1. with new values</t>
      </text>
    </comment>
  </commentList>
</comments>
</file>

<file path=xl/comments/comment14.xml><?xml version="1.0" encoding="utf-8"?>
<comments xmlns="http://schemas.openxmlformats.org/spreadsheetml/2006/main">
  <authors>
    <author>tc={F511BAA5-972C-4F42-823F-C35BC649A7A2}</author>
  </authors>
  <commentList>
    <comment ref="B2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getting paretos fpr scenario 1. with new values</t>
      </text>
    </comment>
  </commentList>
</comments>
</file>

<file path=xl/comments/comment15.xml><?xml version="1.0" encoding="utf-8"?>
<comments xmlns="http://schemas.openxmlformats.org/spreadsheetml/2006/main">
  <authors>
    <author>tc={481759FB-E3A6-6C42-BFE5-EF86E6D6D7CB}</author>
  </authors>
  <commentList>
    <comment ref="L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shredder</t>
      </text>
    </comment>
  </commentList>
</comments>
</file>

<file path=xl/comments/comment16.xml><?xml version="1.0" encoding="utf-8"?>
<comments xmlns="http://schemas.openxmlformats.org/spreadsheetml/2006/main">
  <authors>
    <author>tc={3BC0217C-26F3-AF4F-A4F6-15AD7961B4E2}</author>
  </authors>
  <commentList>
    <comment ref="E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Residual landfill + Wastewater, Table S8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3</col>
      <colOff>38100</colOff>
      <row>10</row>
      <rowOff>95250</rowOff>
    </from>
    <to>
      <col>8</col>
      <colOff>482600</colOff>
      <row>23</row>
      <rowOff>158750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33</row>
      <rowOff>203199</rowOff>
    </from>
    <to>
      <col>12</col>
      <colOff>831346</colOff>
      <row>50</row>
      <rowOff>110300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290300" y="8610599"/>
          <a:ext cx="6038670" cy="39758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221746</colOff>
      <row>34</row>
      <rowOff>141111</rowOff>
    </from>
    <to>
      <col>18</col>
      <colOff>392985</colOff>
      <row>51</row>
      <rowOff>40638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925546" y="8751711"/>
          <a:ext cx="6151236" cy="39667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8</col>
      <colOff>0</colOff>
      <row>33</row>
      <rowOff>203199</rowOff>
    </from>
    <to>
      <col>12</col>
      <colOff>412185</colOff>
      <row>50</row>
      <rowOff>229362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80700" y="8610599"/>
          <a:ext cx="6038670" cy="39878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221746</colOff>
      <row>34</row>
      <rowOff>141111</rowOff>
    </from>
    <to>
      <col>18</col>
      <colOff>562540</colOff>
      <row>51</row>
      <rowOff>120014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296190" y="8728730"/>
          <a:ext cx="6148414" cy="39717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0</colOff>
      <row>57</row>
      <rowOff>0</rowOff>
    </from>
    <to>
      <col>6</col>
      <colOff>880533</colOff>
      <row>80</row>
      <rowOff>115599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5500" y="13703300"/>
          <a:ext cx="7751233" cy="53987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1083734</colOff>
      <row>139</row>
      <rowOff>152400</rowOff>
    </from>
    <to>
      <col>6</col>
      <colOff>1964267</colOff>
      <row>165</row>
      <rowOff>175706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9234" y="32042100"/>
          <a:ext cx="7751233" cy="53065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0</colOff>
      <row>33</row>
      <rowOff>203199</rowOff>
    </from>
    <to>
      <col>12</col>
      <colOff>196670</colOff>
      <row>52</row>
      <rowOff>26702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90300" y="8686799"/>
          <a:ext cx="6038670" cy="39891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221746</colOff>
      <row>34</row>
      <rowOff>141111</rowOff>
    </from>
    <to>
      <col>18</col>
      <colOff>378582</colOff>
      <row>52</row>
      <rowOff>160545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7925546" y="8827911"/>
          <a:ext cx="6151236" cy="39818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8</col>
      <colOff>753534</colOff>
      <row>10</row>
      <rowOff>118533</rowOff>
    </from>
    <to>
      <col>14</col>
      <colOff>372534</colOff>
      <row>24</row>
      <rowOff>16933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paolamunozbriones/Documents/Project%20Ugo/CE%20indicators%20list%20for%20Model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1_P1.csv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1_E1.csv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1_E2.csv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2_E1.csv" TargetMode="External" Id="rId2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Users/paolamunozbriones/Documents/Project%20Ugo/Results/20Ktons/Process_results20_C2_P1.csv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Users/paolamunozbriones/Documents/Project%20Ugo/Results/20Ktons/Process_results_shredderC2.csv" TargetMode="External" Id="rId2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Users/paolamunozbriones/Documents/Project%20Ugo/Results/20Ktons/Process_results20_C2_E1.csv" TargetMode="External" Id="rId2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2_P1.csv" TargetMode="External" Id="rId2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shredderC2.csv" TargetMode="External" Id="rId2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Users/paolamunozbriones/Library/Containers/com.microsoft.Excel/Data/Library/Application%20Support/Microsoft/CE%20indicators%20list%20for%20Model%20(version%201).xlsb" TargetMode="External" Id="rId2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Users/paolamunozbriones/Documents/Circularity%20index/CE_CalculationSeptOct.xlsx" TargetMode="External" Id="rId2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Users/paolamunozbriones/Documents/Project%20Ugo/Kenneth%20excel%20for%20Paola.xlsx" TargetMode="External" Id="rId2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shredderC1.csv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shredderC3.csv" TargetMode="External" Id="rId2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3_P1.csv" TargetMode="External" Id="rId2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3_E1.csv" TargetMode="External" Id="rId2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3_P2.csv" TargetMode="External" Id="rId2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Users/paolamunozbriones/Documents/Project%20Ugo/Results/Process_results_C3_E2.csv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l Data (use this)"/>
      <sheetName val="JuliaStrap"/>
      <sheetName val="JuliaOthertech"/>
      <sheetName val="Sheet2"/>
      <sheetName val="Sheet1"/>
      <sheetName val="Reference"/>
      <sheetName val="Report from Ugo"/>
      <sheetName val="Upper bounds"/>
      <sheetName val="New UBs"/>
    </sheetNames>
    <sheetDataSet>
      <sheetData sheetId="0">
        <row r="3">
          <cell r="E3" t="str">
            <v>Total Energy Consumed [MJ/ton resin]</v>
          </cell>
          <cell r="F3" t="str">
            <v>Total Renewable Energy Consumed [MJ/ton resin]</v>
          </cell>
          <cell r="H3" t="str">
            <v>Total Direct GHG emissions [Scope 1] [metric tons CO2 equivalent [tCO2e/ton]]</v>
          </cell>
          <cell r="I3" t="str">
            <v>Total Energy indirect GHG emissions (Scope 2) [metric tons CO2 equivalent (t CO2e)]</v>
          </cell>
          <cell r="J3" t="str">
            <v>Nitrogen oxides [NOX], sulfur oxides [SOX] and other significant air emissions* [ton or multiples]</v>
          </cell>
          <cell r="L3" t="str">
            <v>Water consumed/discarded [m3/ton]</v>
          </cell>
          <cell r="M3" t="str">
            <v>Water Recycled or Reused [m3/ton]</v>
          </cell>
          <cell r="O3" t="str">
            <v>Waste generated - Non Hazardous [kg/ton]</v>
          </cell>
          <cell r="P3" t="str">
            <v>Waste to Disposal[ton/ton]</v>
          </cell>
          <cell r="R3" t="str">
            <v>GWP [tonCO2e/ton resin]</v>
          </cell>
          <cell r="S3" t="str">
            <v>Human toxicity cancer [CTUh/ton resin]</v>
          </cell>
          <cell r="T3" t="str">
            <v>Human toxicity non-cancer [CTUh/ton resin]</v>
          </cell>
        </row>
        <row r="7">
          <cell r="D7" t="str">
            <v>Landfill</v>
          </cell>
          <cell r="E7">
            <v>444.22</v>
          </cell>
          <cell r="F7">
            <v>0</v>
          </cell>
          <cell r="I7"/>
          <cell r="J7"/>
          <cell r="K7"/>
        </row>
        <row r="8">
          <cell r="D8" t="str">
            <v>Incineration</v>
          </cell>
          <cell r="E8">
            <v>261.86</v>
          </cell>
          <cell r="I8"/>
          <cell r="M8">
            <v>0</v>
          </cell>
        </row>
        <row r="9">
          <cell r="D9" t="str">
            <v>Pyrolysis</v>
          </cell>
          <cell r="E9">
            <v>1984</v>
          </cell>
          <cell r="F9">
            <v>0</v>
          </cell>
          <cell r="I9"/>
          <cell r="J9"/>
          <cell r="K9"/>
          <cell r="M9">
            <v>0</v>
          </cell>
          <cell r="N9"/>
          <cell r="O9">
            <v>0.25</v>
          </cell>
          <cell r="P9"/>
          <cell r="Q9"/>
          <cell r="T9"/>
        </row>
        <row r="11">
          <cell r="C11" t="str">
            <v>Polymer</v>
          </cell>
          <cell r="D11" t="str">
            <v>Solvents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0">
          <cell r="E50">
            <v>4656000</v>
          </cell>
          <cell r="J50">
            <v>776000</v>
          </cell>
        </row>
        <row r="51">
          <cell r="E51">
            <v>776000</v>
          </cell>
          <cell r="J51">
            <v>4656000</v>
          </cell>
        </row>
        <row r="57">
          <cell r="E57">
            <v>11640000</v>
          </cell>
          <cell r="J57">
            <v>1940000</v>
          </cell>
        </row>
        <row r="58">
          <cell r="E58">
            <v>1940000</v>
          </cell>
          <cell r="J58">
            <v>11640000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1_P1"/>
    </sheetNames>
    <sheetDataSet>
      <sheetData sheetId="0" refreshError="1">
        <row r="2">
          <cell r="B2">
            <v>5.0599999999999996</v>
          </cell>
          <cell r="C2">
            <v>1.237931474</v>
          </cell>
          <cell r="H2">
            <v>4.66E-8</v>
          </cell>
          <cell r="I2">
            <v>2.59E-8</v>
          </cell>
          <cell r="J2">
            <v>1.3109193240000001</v>
          </cell>
          <cell r="K2">
            <v>41127372.049999997</v>
          </cell>
          <cell r="L2">
            <v>1050992.5</v>
          </cell>
        </row>
        <row r="3">
          <cell r="B3">
            <v>5.0599999999999996</v>
          </cell>
          <cell r="C3">
            <v>1.2333877310000001</v>
          </cell>
          <cell r="H3">
            <v>4.6499999999999999E-8</v>
          </cell>
          <cell r="I3">
            <v>2.59E-8</v>
          </cell>
          <cell r="J3">
            <v>1.309777443</v>
          </cell>
          <cell r="K3">
            <v>41242334.509999998</v>
          </cell>
          <cell r="L3">
            <v>1052732.23</v>
          </cell>
        </row>
        <row r="4">
          <cell r="B4">
            <v>4.84</v>
          </cell>
          <cell r="C4">
            <v>1.132585723</v>
          </cell>
          <cell r="H4">
            <v>4.1099999999999997E-8</v>
          </cell>
          <cell r="I4">
            <v>2.2600000000000001E-8</v>
          </cell>
          <cell r="J4">
            <v>1.1049738419999999</v>
          </cell>
          <cell r="K4">
            <v>35957531.93</v>
          </cell>
          <cell r="L4">
            <v>941556.97</v>
          </cell>
        </row>
        <row r="5">
          <cell r="B5">
            <v>5.05</v>
          </cell>
          <cell r="C5">
            <v>1.2750606280000001</v>
          </cell>
          <cell r="H5">
            <v>4.7600000000000003E-8</v>
          </cell>
          <cell r="I5">
            <v>2.6000000000000001E-8</v>
          </cell>
          <cell r="J5">
            <v>1.3314005250000001</v>
          </cell>
          <cell r="K5">
            <v>39763230.159999996</v>
          </cell>
          <cell r="L5">
            <v>1029256.04</v>
          </cell>
        </row>
        <row r="6">
          <cell r="B6">
            <v>5.05</v>
          </cell>
          <cell r="C6">
            <v>1.1923474249999999</v>
          </cell>
          <cell r="H6">
            <v>4.4099999999999998E-8</v>
          </cell>
          <cell r="I6">
            <v>2.3800000000000001E-8</v>
          </cell>
          <cell r="J6">
            <v>1.2129959830000001</v>
          </cell>
          <cell r="K6">
            <v>41946461.490000002</v>
          </cell>
          <cell r="L6">
            <v>1062445.77</v>
          </cell>
        </row>
        <row r="7">
          <cell r="B7">
            <v>5.53</v>
          </cell>
          <cell r="C7">
            <v>1.7756410970000001</v>
          </cell>
          <cell r="H7">
            <v>6.7200000000000006E-8</v>
          </cell>
          <cell r="I7">
            <v>4.1000000000000003E-8</v>
          </cell>
          <cell r="J7">
            <v>2.049265025</v>
          </cell>
          <cell r="K7">
            <v>45193755.710000001</v>
          </cell>
          <cell r="L7">
            <v>1189346.81</v>
          </cell>
        </row>
        <row r="8">
          <cell r="B8">
            <v>5.0999999999999996</v>
          </cell>
          <cell r="C8">
            <v>1.20494284</v>
          </cell>
          <cell r="H8">
            <v>4.4199999999999999E-8</v>
          </cell>
          <cell r="I8">
            <v>2.3499999999999999E-8</v>
          </cell>
          <cell r="J8">
            <v>1.19677487</v>
          </cell>
          <cell r="K8">
            <v>43395845.670000002</v>
          </cell>
          <cell r="L8">
            <v>1091860.0900000001</v>
          </cell>
        </row>
        <row r="9">
          <cell r="B9">
            <v>5.22</v>
          </cell>
          <cell r="C9">
            <v>1.249074732</v>
          </cell>
          <cell r="H9">
            <v>4.6299999999999998E-8</v>
          </cell>
          <cell r="I9">
            <v>2.4599999999999999E-8</v>
          </cell>
          <cell r="J9">
            <v>1.260518689</v>
          </cell>
          <cell r="K9">
            <v>47229557.960000001</v>
          </cell>
          <cell r="L9">
            <v>1183790.04</v>
          </cell>
        </row>
        <row r="10">
          <cell r="B10">
            <v>5.0999999999999996</v>
          </cell>
          <cell r="C10">
            <v>1.2757458719999999</v>
          </cell>
          <cell r="H10">
            <v>4.6900000000000003E-8</v>
          </cell>
          <cell r="I10">
            <v>2.48E-8</v>
          </cell>
          <cell r="J10">
            <v>1.267510658</v>
          </cell>
          <cell r="K10">
            <v>41293151.899999999</v>
          </cell>
          <cell r="L10">
            <v>1058798.0900000001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1_E1"/>
    </sheetNames>
    <sheetDataSet>
      <sheetData sheetId="0">
        <row r="2">
          <cell r="A2" t="str">
            <v>Ethylene Glycol</v>
          </cell>
          <cell r="B2">
            <v>8.69</v>
          </cell>
          <cell r="C2">
            <v>4.6672989300068899</v>
          </cell>
          <cell r="H2">
            <v>1.66403208146656E-7</v>
          </cell>
          <cell r="I2">
            <v>9.7094204474616404E-8</v>
          </cell>
          <cell r="J2">
            <v>4.5240274398078499</v>
          </cell>
          <cell r="K2">
            <v>19372359.16</v>
          </cell>
          <cell r="L2">
            <v>575569.55000000005</v>
          </cell>
        </row>
        <row r="3">
          <cell r="A3" t="str">
            <v>Pyridazine</v>
          </cell>
          <cell r="B3">
            <v>8.31</v>
          </cell>
          <cell r="C3">
            <v>4.2490610551997703</v>
          </cell>
          <cell r="H3">
            <v>1.5927175449014301E-7</v>
          </cell>
          <cell r="I3">
            <v>1.03994429634163E-7</v>
          </cell>
          <cell r="J3">
            <v>5.1883447849865201</v>
          </cell>
          <cell r="K3">
            <v>19567438.390000001</v>
          </cell>
          <cell r="L3">
            <v>574554.18000000005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1_E2"/>
    </sheetNames>
    <sheetDataSet>
      <sheetData sheetId="0">
        <row r="2">
          <cell r="B2">
            <v>6.3</v>
          </cell>
          <cell r="C2">
            <v>2.4164157141409901</v>
          </cell>
          <cell r="D2">
            <v>1300.32</v>
          </cell>
          <cell r="F2">
            <v>570.78</v>
          </cell>
          <cell r="G2">
            <v>44571.66</v>
          </cell>
          <cell r="H2">
            <v>8.8467535468270296E-8</v>
          </cell>
          <cell r="I2">
            <v>4.9987059139820998E-8</v>
          </cell>
          <cell r="J2">
            <v>2.442531994326</v>
          </cell>
          <cell r="K2">
            <v>15244377.52</v>
          </cell>
          <cell r="L2">
            <v>495170.06</v>
          </cell>
        </row>
        <row r="3">
          <cell r="B3">
            <v>6.57</v>
          </cell>
          <cell r="C3">
            <v>2.7870718734942201</v>
          </cell>
          <cell r="D3">
            <v>1159.5999999999999</v>
          </cell>
          <cell r="F3">
            <v>725.5</v>
          </cell>
          <cell r="G3">
            <v>57397.440000000002</v>
          </cell>
          <cell r="H3">
            <v>1.0195485036372399E-7</v>
          </cell>
          <cell r="I3">
            <v>5.5664605942828402E-8</v>
          </cell>
          <cell r="J3">
            <v>2.78500622898129</v>
          </cell>
          <cell r="K3">
            <v>15333812.18</v>
          </cell>
          <cell r="L3">
            <v>500682.73</v>
          </cell>
        </row>
        <row r="4">
          <cell r="B4">
            <v>6.39</v>
          </cell>
          <cell r="C4">
            <v>2.5634488212983002</v>
          </cell>
          <cell r="D4">
            <v>1138.81</v>
          </cell>
          <cell r="F4">
            <v>606.95000000000005</v>
          </cell>
          <cell r="G4">
            <v>47356.480000000003</v>
          </cell>
          <cell r="H4">
            <v>9.3493617213530498E-8</v>
          </cell>
          <cell r="I4">
            <v>5.1619942063772101E-8</v>
          </cell>
          <cell r="J4">
            <v>2.5527489801077099</v>
          </cell>
          <cell r="K4">
            <v>15213677.65</v>
          </cell>
          <cell r="L4">
            <v>496133.95</v>
          </cell>
        </row>
        <row r="5">
          <cell r="B5">
            <v>6.27</v>
          </cell>
          <cell r="C5">
            <v>2.34872049494723</v>
          </cell>
          <cell r="D5">
            <v>1132.8599999999999</v>
          </cell>
          <cell r="F5">
            <v>653.53</v>
          </cell>
          <cell r="G5">
            <v>52299.25</v>
          </cell>
          <cell r="H5">
            <v>8.5241573798369001E-8</v>
          </cell>
          <cell r="I5">
            <v>4.7473209440425701E-8</v>
          </cell>
          <cell r="J5">
            <v>2.3219123930223802</v>
          </cell>
          <cell r="K5">
            <v>14999753.33</v>
          </cell>
          <cell r="L5">
            <v>489751.66</v>
          </cell>
        </row>
        <row r="6">
          <cell r="B6">
            <v>6.28</v>
          </cell>
          <cell r="C6">
            <v>2.3400388965112602</v>
          </cell>
          <cell r="D6">
            <v>1202.77</v>
          </cell>
          <cell r="F6">
            <v>599.35</v>
          </cell>
          <cell r="G6">
            <v>47419.34</v>
          </cell>
          <cell r="H6">
            <v>8.6468126391817004E-8</v>
          </cell>
          <cell r="I6">
            <v>4.9774958605453698E-8</v>
          </cell>
          <cell r="J6">
            <v>2.43446629116182</v>
          </cell>
          <cell r="K6">
            <v>15233740.890000001</v>
          </cell>
          <cell r="L6">
            <v>494123.55</v>
          </cell>
        </row>
        <row r="7">
          <cell r="B7">
            <v>6.09</v>
          </cell>
          <cell r="C7">
            <v>2.1471996364315999</v>
          </cell>
          <cell r="D7">
            <v>1332.07</v>
          </cell>
          <cell r="F7">
            <v>429.66</v>
          </cell>
          <cell r="G7">
            <v>32670.15</v>
          </cell>
          <cell r="H7">
            <v>8.1602175283701594E-8</v>
          </cell>
          <cell r="I7">
            <v>5.04447864043708E-8</v>
          </cell>
          <cell r="J7">
            <v>2.6154385472646799</v>
          </cell>
          <cell r="K7">
            <v>14937682.800000001</v>
          </cell>
          <cell r="L7">
            <v>486717.81</v>
          </cell>
        </row>
        <row r="8">
          <cell r="B8">
            <v>6.07</v>
          </cell>
          <cell r="C8">
            <v>2.16611774112287</v>
          </cell>
          <cell r="D8">
            <v>1154.6099999999999</v>
          </cell>
          <cell r="F8">
            <v>440.78</v>
          </cell>
          <cell r="G8">
            <v>33589.589999999997</v>
          </cell>
          <cell r="H8">
            <v>7.9570483037843694E-8</v>
          </cell>
          <cell r="I8">
            <v>4.6250783929116298E-8</v>
          </cell>
          <cell r="J8">
            <v>2.2336388858521801</v>
          </cell>
          <cell r="K8">
            <v>14557669.26</v>
          </cell>
          <cell r="L8">
            <v>479709.41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2_E1"/>
    </sheetNames>
    <sheetDataSet>
      <sheetData sheetId="0" refreshError="1">
        <row r="2">
          <cell r="A2" t="str">
            <v>Ethylene Glycol</v>
          </cell>
          <cell r="B2">
            <v>13.8</v>
          </cell>
          <cell r="C2">
            <v>5.88</v>
          </cell>
          <cell r="D2">
            <v>2.3757670844328098</v>
          </cell>
          <cell r="E2">
            <v>2426.35</v>
          </cell>
          <cell r="G2">
            <v>1296.21</v>
          </cell>
          <cell r="H2">
            <v>117836.9</v>
          </cell>
          <cell r="I2">
            <v>1.6368893038395801E-7</v>
          </cell>
          <cell r="J2">
            <v>1.46085129574622E-6</v>
          </cell>
          <cell r="K2">
            <v>32.5244374445722</v>
          </cell>
          <cell r="L2">
            <v>11469988.4</v>
          </cell>
          <cell r="M2">
            <v>609880.55000000005</v>
          </cell>
        </row>
        <row r="3">
          <cell r="B3">
            <v>11.12</v>
          </cell>
          <cell r="C3">
            <v>5.59</v>
          </cell>
          <cell r="D3">
            <v>2.1517459874938001</v>
          </cell>
          <cell r="E3">
            <v>2837.85</v>
          </cell>
          <cell r="G3">
            <v>772.05</v>
          </cell>
          <cell r="H3">
            <v>70186.600000000006</v>
          </cell>
          <cell r="I3">
            <v>1.3236604701216201E-7</v>
          </cell>
          <cell r="J3">
            <v>1.4025346652879101E-6</v>
          </cell>
          <cell r="K3">
            <v>31.6844327962718</v>
          </cell>
          <cell r="L3">
            <v>12059302.560000001</v>
          </cell>
          <cell r="M3">
            <v>615523.24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20_C2_P1"/>
    </sheetNames>
    <sheetDataSet>
      <sheetData sheetId="0">
        <row r="2">
          <cell r="B2">
            <v>4.8600000000000003</v>
          </cell>
          <cell r="C2">
            <v>4.0199999999999996</v>
          </cell>
          <cell r="D2">
            <v>0.94432974936542102</v>
          </cell>
          <cell r="I2">
            <v>2.9807638302763597E-8</v>
          </cell>
          <cell r="J2">
            <v>9.8619993665391405E-7</v>
          </cell>
          <cell r="K2">
            <v>21.347623953213699</v>
          </cell>
          <cell r="L2">
            <v>51198147.219999999</v>
          </cell>
          <cell r="M2">
            <v>2379806.5699999998</v>
          </cell>
        </row>
        <row r="3">
          <cell r="B3">
            <v>4.83</v>
          </cell>
          <cell r="C3">
            <v>4.0199999999999996</v>
          </cell>
          <cell r="D3">
            <v>0.94205269033317096</v>
          </cell>
        </row>
        <row r="4">
          <cell r="B4">
            <v>4.28</v>
          </cell>
          <cell r="C4">
            <v>3.85</v>
          </cell>
          <cell r="D4">
            <v>0.87424747601731601</v>
          </cell>
        </row>
        <row r="5">
          <cell r="B5">
            <v>5.1100000000000003</v>
          </cell>
          <cell r="C5">
            <v>4.01</v>
          </cell>
          <cell r="D5">
            <v>0.96059639717585499</v>
          </cell>
        </row>
        <row r="6">
          <cell r="B6">
            <v>4.6100000000000003</v>
          </cell>
          <cell r="C6">
            <v>4.01</v>
          </cell>
          <cell r="D6">
            <v>0.91826331579980203</v>
          </cell>
        </row>
        <row r="7">
          <cell r="B7">
            <v>8.0299999999999994</v>
          </cell>
          <cell r="C7">
            <v>4.3899999999999997</v>
          </cell>
          <cell r="D7">
            <v>1.25371856374132</v>
          </cell>
        </row>
        <row r="8">
          <cell r="B8">
            <v>4.7</v>
          </cell>
          <cell r="C8">
            <v>4.0599999999999996</v>
          </cell>
          <cell r="D8">
            <v>0.92703649373827102</v>
          </cell>
        </row>
        <row r="9">
          <cell r="B9">
            <v>4.95</v>
          </cell>
          <cell r="C9">
            <v>4.16</v>
          </cell>
          <cell r="D9">
            <v>0.96198501141984705</v>
          </cell>
        </row>
        <row r="10">
          <cell r="B10">
            <v>5.12</v>
          </cell>
          <cell r="C10">
            <v>4.05</v>
          </cell>
          <cell r="D10">
            <v>0.96345962882687997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shredderC2"/>
    </sheetNames>
    <sheetDataSet>
      <sheetData sheetId="0">
        <row r="2">
          <cell r="B2">
            <v>0.66</v>
          </cell>
          <cell r="C2">
            <v>0.66</v>
          </cell>
          <cell r="D2">
            <v>0.12977225267022699</v>
          </cell>
          <cell r="E2">
            <v>2.0552762859447199E-9</v>
          </cell>
          <cell r="F2">
            <v>1.60733145439266E-7</v>
          </cell>
          <cell r="G2">
            <v>3.4518101725481798</v>
          </cell>
          <cell r="H2">
            <v>4726923.1100000003</v>
          </cell>
          <cell r="I2">
            <v>1221239.8700000001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20_C2_E1"/>
    </sheetNames>
    <sheetDataSet>
      <sheetData sheetId="0">
        <row r="2">
          <cell r="B2">
            <v>13.63</v>
          </cell>
          <cell r="C2">
            <v>5.71</v>
          </cell>
          <cell r="D2">
            <v>2.3424652174382401</v>
          </cell>
          <cell r="I2">
            <v>1.63161509952338E-7</v>
          </cell>
          <cell r="J2">
            <v>1.41960431327595E-6</v>
          </cell>
          <cell r="K2">
            <v>31.638641591520798</v>
          </cell>
          <cell r="L2">
            <v>19411339.629999999</v>
          </cell>
          <cell r="M2">
            <v>1005354.62</v>
          </cell>
        </row>
        <row r="3">
          <cell r="B3">
            <v>10.95</v>
          </cell>
          <cell r="C3">
            <v>5.42</v>
          </cell>
          <cell r="D3">
            <v>2.1181224071734501</v>
          </cell>
          <cell r="I3">
            <v>1.3183353142524901E-7</v>
          </cell>
          <cell r="J3">
            <v>1.36088921555143E-6</v>
          </cell>
          <cell r="K3">
            <v>30.790079695365101</v>
          </cell>
          <cell r="L3">
            <v>20294574.760000002</v>
          </cell>
          <cell r="M3">
            <v>1007506.88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2_P1"/>
    </sheetNames>
    <sheetDataSet>
      <sheetData sheetId="0" refreshError="1">
        <row r="2">
          <cell r="B2">
            <v>4.9000000000000004</v>
          </cell>
          <cell r="C2">
            <v>4.0599999999999996</v>
          </cell>
          <cell r="D2">
            <v>0.95228252954878301</v>
          </cell>
          <cell r="I2">
            <v>2.9933590963530401E-8</v>
          </cell>
          <cell r="J2">
            <v>9.960500806373951E-7</v>
          </cell>
          <cell r="K2">
            <v>21.559159832203001</v>
          </cell>
          <cell r="L2">
            <v>28174190.780000001</v>
          </cell>
          <cell r="M2">
            <v>1238389.0900000001</v>
          </cell>
        </row>
        <row r="3">
          <cell r="B3">
            <v>4.88</v>
          </cell>
          <cell r="C3">
            <v>4.0599999999999996</v>
          </cell>
          <cell r="D3">
            <v>0.95001910453173</v>
          </cell>
          <cell r="I3">
            <v>2.9504303420044401E-8</v>
          </cell>
          <cell r="J3">
            <v>9.9663315684309309E-7</v>
          </cell>
          <cell r="K3">
            <v>21.5686953223749</v>
          </cell>
          <cell r="L3">
            <v>28306241.32</v>
          </cell>
          <cell r="M3">
            <v>1240936.69</v>
          </cell>
        </row>
        <row r="4">
          <cell r="B4">
            <v>4.3099999999999996</v>
          </cell>
          <cell r="C4">
            <v>3.88</v>
          </cell>
          <cell r="D4">
            <v>0.88005586256375501</v>
          </cell>
          <cell r="I4">
            <v>2.0802292129451E-8</v>
          </cell>
          <cell r="J4">
            <v>9.5048459363224303E-7</v>
          </cell>
          <cell r="K4">
            <v>20.444636249303802</v>
          </cell>
          <cell r="L4">
            <v>23554738.969999999</v>
          </cell>
          <cell r="M4">
            <v>1130949.1000000001</v>
          </cell>
        </row>
        <row r="5">
          <cell r="B5">
            <v>5.15</v>
          </cell>
          <cell r="C5">
            <v>4.05</v>
          </cell>
          <cell r="D5">
            <v>0.96828917914410095</v>
          </cell>
          <cell r="I5">
            <v>3.3769335529017399E-8</v>
          </cell>
          <cell r="J5">
            <v>9.933211576582749E-7</v>
          </cell>
          <cell r="K5">
            <v>21.534877063830599</v>
          </cell>
          <cell r="L5">
            <v>26638190.550000001</v>
          </cell>
          <cell r="M5">
            <v>1209677.1100000001</v>
          </cell>
        </row>
        <row r="6">
          <cell r="B6">
            <v>4.66</v>
          </cell>
          <cell r="C6">
            <v>4.0599999999999996</v>
          </cell>
          <cell r="D6">
            <v>0.92634901349480503</v>
          </cell>
          <cell r="I6">
            <v>2.4910591550292099E-8</v>
          </cell>
          <cell r="J6">
            <v>9.9335382842727296E-7</v>
          </cell>
          <cell r="K6">
            <v>21.435425585911101</v>
          </cell>
          <cell r="L6">
            <v>29174196.48</v>
          </cell>
          <cell r="M6">
            <v>1255726.67</v>
          </cell>
        </row>
        <row r="7">
          <cell r="B7">
            <v>8.08</v>
          </cell>
          <cell r="C7">
            <v>4.43</v>
          </cell>
          <cell r="D7">
            <v>1.2618708927823701</v>
          </cell>
          <cell r="I7">
            <v>7.88876755238973E-8</v>
          </cell>
          <cell r="J7">
            <v>1.0935780612876199E-6</v>
          </cell>
          <cell r="K7">
            <v>24.187458604386599</v>
          </cell>
          <cell r="L7">
            <v>29897833.620000001</v>
          </cell>
          <cell r="M7">
            <v>1336643.06</v>
          </cell>
        </row>
        <row r="8">
          <cell r="B8">
            <v>4.74</v>
          </cell>
          <cell r="C8">
            <v>4.0999999999999996</v>
          </cell>
          <cell r="D8">
            <v>0.93528025407939497</v>
          </cell>
          <cell r="I8">
            <v>2.5298743344483698E-8</v>
          </cell>
          <cell r="J8">
            <v>1.00289822577115E-6</v>
          </cell>
          <cell r="K8">
            <v>21.627647566118501</v>
          </cell>
          <cell r="L8">
            <v>30533140.68</v>
          </cell>
          <cell r="M8">
            <v>1285915.67</v>
          </cell>
        </row>
        <row r="9">
          <cell r="B9">
            <v>4.99</v>
          </cell>
          <cell r="C9">
            <v>4.2</v>
          </cell>
          <cell r="D9">
            <v>0.97052527556813994</v>
          </cell>
          <cell r="I9">
            <v>2.8608915443423999E-8</v>
          </cell>
          <cell r="J9">
            <v>1.0284928126930201E-6</v>
          </cell>
          <cell r="K9">
            <v>22.2146074018486</v>
          </cell>
          <cell r="L9">
            <v>34034748.640000001</v>
          </cell>
          <cell r="M9">
            <v>1381337.92</v>
          </cell>
        </row>
        <row r="10">
          <cell r="B10">
            <v>5.16</v>
          </cell>
          <cell r="C10">
            <v>4.09</v>
          </cell>
          <cell r="D10">
            <v>0.97139316333286496</v>
          </cell>
          <cell r="I10">
            <v>3.2565789083098198E-8</v>
          </cell>
          <cell r="J10">
            <v>1.00175163992081E-6</v>
          </cell>
          <cell r="K10">
            <v>21.671368968093699</v>
          </cell>
          <cell r="L10">
            <v>28134268.989999998</v>
          </cell>
          <cell r="M10">
            <v>1241818.52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shredderC2"/>
    </sheetNames>
    <sheetDataSet>
      <sheetData sheetId="0" refreshError="1">
        <row r="2">
          <cell r="B2">
            <v>0.66</v>
          </cell>
          <cell r="C2">
            <v>0.66</v>
          </cell>
          <cell r="D2">
            <v>0.12977225267022699</v>
          </cell>
          <cell r="E2">
            <v>2.0552762859447199E-9</v>
          </cell>
          <cell r="F2">
            <v>1.60733145439266E-7</v>
          </cell>
          <cell r="G2">
            <v>3.4518101725481798</v>
          </cell>
          <cell r="H2">
            <v>2938053.54</v>
          </cell>
          <cell r="I2">
            <v>1051212.07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Final Data (use this)"/>
      <sheetName val="JuliaStrap"/>
      <sheetName val="JuliaOthertech"/>
      <sheetName val="Sheet2"/>
      <sheetName val="Sheet1"/>
      <sheetName val="Reference"/>
      <sheetName val="Report from Ugo"/>
      <sheetName val="Upper bounds"/>
      <sheetName val="New U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0">
          <cell r="E50">
            <v>4656000</v>
          </cell>
          <cell r="J50">
            <v>776000</v>
          </cell>
        </row>
        <row r="51">
          <cell r="E51">
            <v>776000</v>
          </cell>
          <cell r="J51">
            <v>4656000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E Index Scenarios COMPLETE)"/>
      <sheetName val="CE Index Scenarios Transportati"/>
      <sheetName val="CE Index Scenarios"/>
      <sheetName val="Packaging production"/>
      <sheetName val="NO_CE Index"/>
      <sheetName val="All Technologies Updated"/>
      <sheetName val="Packaging Info"/>
      <sheetName val="NEW_INFO"/>
      <sheetName val="Sheet2"/>
      <sheetName val="All Technologies"/>
      <sheetName val="Sheet1"/>
      <sheetName val="Sectors_Goals"/>
      <sheetName val="Energy_Utilities"/>
      <sheetName val="Exp Manufacturing"/>
      <sheetName val="V1 Manufacturing"/>
      <sheetName val="Automotive"/>
      <sheetName val="Disney"/>
      <sheetName val="General Mills"/>
    </sheetNames>
    <sheetDataSet>
      <sheetData sheetId="0">
        <row r="2">
          <cell r="J2">
            <v>1.0353187714285714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Gasification_Technologies"/>
      <sheetName val="Fixed_Technologies"/>
      <sheetName val="STRAP_Wash1_PE"/>
      <sheetName val="STRAP_Wash2_PE"/>
      <sheetName val="STRAP_Wash1_EVOH"/>
      <sheetName val="STRAP_Wash2_EVOH"/>
    </sheetNames>
    <sheetDataSet>
      <sheetData sheetId="0"/>
      <sheetData sheetId="1">
        <row r="2">
          <cell r="D2">
            <v>601.80642025199995</v>
          </cell>
          <cell r="H2">
            <v>2.0098739999999999</v>
          </cell>
          <cell r="I2">
            <v>0</v>
          </cell>
          <cell r="M2">
            <v>1.07</v>
          </cell>
          <cell r="N2">
            <v>4.9900000000000001E-7</v>
          </cell>
          <cell r="O2">
            <v>2.6100000000000002E-7</v>
          </cell>
          <cell r="P2">
            <v>17.3</v>
          </cell>
          <cell r="T2">
            <v>3.4603081465404224</v>
          </cell>
          <cell r="X2">
            <v>159.86712271878616</v>
          </cell>
        </row>
        <row r="3">
          <cell r="D3">
            <v>741.88235294117635</v>
          </cell>
          <cell r="H3">
            <v>2.664705882352941</v>
          </cell>
          <cell r="I3">
            <v>1.2362745098039216</v>
          </cell>
          <cell r="M3">
            <v>4.0849673202614376</v>
          </cell>
          <cell r="N3">
            <v>2.7941176470588236E-10</v>
          </cell>
          <cell r="O3">
            <v>4.1830065359477127E-10</v>
          </cell>
          <cell r="P3">
            <v>2.1307189542483659E-2</v>
          </cell>
        </row>
        <row r="4">
          <cell r="D4">
            <v>906.91764705882349</v>
          </cell>
          <cell r="H4">
            <v>2.719607843137255</v>
          </cell>
          <cell r="I4">
            <v>2.7111111111111112</v>
          </cell>
          <cell r="M4">
            <v>1.2124183006535947</v>
          </cell>
          <cell r="N4">
            <v>3.0915032679738563E-10</v>
          </cell>
          <cell r="O4">
            <v>4.7058823529411763E-10</v>
          </cell>
          <cell r="P4">
            <v>2.3562091503267973E-2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shredderC1"/>
    </sheetNames>
    <sheetDataSet>
      <sheetData sheetId="0">
        <row r="2">
          <cell r="C2">
            <v>0.55746314553726695</v>
          </cell>
          <cell r="D2">
            <v>7.0857685194384296E-9</v>
          </cell>
          <cell r="E2">
            <v>1.57291799527234E-9</v>
          </cell>
          <cell r="F2">
            <v>7.3701795843539003E-2</v>
          </cell>
          <cell r="G2">
            <v>3130073.23</v>
          </cell>
          <cell r="H2">
            <v>1068992.28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shredderC3"/>
    </sheetNames>
    <sheetDataSet>
      <sheetData sheetId="0">
        <row r="2">
          <cell r="B2">
            <v>0.66</v>
          </cell>
          <cell r="C2">
            <v>0.66</v>
          </cell>
          <cell r="D2">
            <v>0.179750457941353</v>
          </cell>
          <cell r="E2">
            <v>2.0552762859447199E-9</v>
          </cell>
          <cell r="F2">
            <v>1.60733145439266E-7</v>
          </cell>
          <cell r="G2">
            <v>3.4518101725481798</v>
          </cell>
          <cell r="H2">
            <v>2424468.0299999998</v>
          </cell>
          <cell r="I2">
            <v>1003656.22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3_P1"/>
    </sheetNames>
    <sheetDataSet>
      <sheetData sheetId="0" refreshError="1">
        <row r="2">
          <cell r="B2">
            <v>4.07</v>
          </cell>
          <cell r="C2">
            <v>4.07</v>
          </cell>
          <cell r="D2">
            <v>1.0128341008172701</v>
          </cell>
          <cell r="I2">
            <v>1.8996859320011601E-8</v>
          </cell>
          <cell r="J2">
            <v>9.977898880759589E-7</v>
          </cell>
          <cell r="K2">
            <v>21.480476295376999</v>
          </cell>
          <cell r="L2">
            <v>30479993.370000001</v>
          </cell>
          <cell r="M2">
            <v>1271506.2</v>
          </cell>
        </row>
        <row r="3">
          <cell r="B3">
            <v>4.07</v>
          </cell>
          <cell r="C3">
            <v>4.07</v>
          </cell>
          <cell r="D3">
            <v>1.0086086342444001</v>
          </cell>
          <cell r="I3">
            <v>1.8829483725673701E-8</v>
          </cell>
          <cell r="J3">
            <v>9.9816130376359401E-7</v>
          </cell>
          <cell r="K3">
            <v>21.4855759627224</v>
          </cell>
          <cell r="L3">
            <v>30565775.030000001</v>
          </cell>
          <cell r="M3">
            <v>1273155.8600000001</v>
          </cell>
        </row>
        <row r="4">
          <cell r="B4">
            <v>3.88</v>
          </cell>
          <cell r="C4">
            <v>3.88</v>
          </cell>
          <cell r="D4">
            <v>0.90935902818989101</v>
          </cell>
          <cell r="I4">
            <v>1.5883189397597899E-8</v>
          </cell>
          <cell r="J4">
            <v>9.51684221201383E-7</v>
          </cell>
          <cell r="K4">
            <v>20.448112019672799</v>
          </cell>
          <cell r="L4">
            <v>25100845.579999998</v>
          </cell>
          <cell r="M4">
            <v>1150371.8400000001</v>
          </cell>
        </row>
        <row r="5">
          <cell r="B5">
            <v>4.0599999999999996</v>
          </cell>
          <cell r="C5">
            <v>4.0599999999999996</v>
          </cell>
          <cell r="D5">
            <v>1.0541182149178301</v>
          </cell>
          <cell r="I5">
            <v>2.0582701158570401E-8</v>
          </cell>
          <cell r="J5">
            <v>9.9697123232425203E-7</v>
          </cell>
          <cell r="K5">
            <v>21.489582498044999</v>
          </cell>
          <cell r="L5">
            <v>29346936.690000001</v>
          </cell>
          <cell r="M5">
            <v>1250944.3600000001</v>
          </cell>
        </row>
        <row r="6">
          <cell r="B6">
            <v>4.0599999999999996</v>
          </cell>
          <cell r="C6">
            <v>4.0599999999999996</v>
          </cell>
          <cell r="D6">
            <v>0.97175717071499301</v>
          </cell>
          <cell r="I6">
            <v>1.7478708254975602E-8</v>
          </cell>
          <cell r="J6">
            <v>9.9528570780992608E-7</v>
          </cell>
          <cell r="K6">
            <v>21.401854742013199</v>
          </cell>
          <cell r="L6">
            <v>31056925.530000001</v>
          </cell>
          <cell r="M6">
            <v>1280935.8899999999</v>
          </cell>
        </row>
        <row r="7">
          <cell r="B7">
            <v>4.47</v>
          </cell>
          <cell r="C7">
            <v>4.47</v>
          </cell>
          <cell r="D7">
            <v>1.5526414508961499</v>
          </cell>
          <cell r="I7">
            <v>3.7637469802931603E-8</v>
          </cell>
          <cell r="J7">
            <v>1.10385825403052E-6</v>
          </cell>
          <cell r="K7">
            <v>24.047297035223799</v>
          </cell>
          <cell r="L7">
            <v>35456259.520000003</v>
          </cell>
          <cell r="M7">
            <v>1438350.27</v>
          </cell>
        </row>
        <row r="8">
          <cell r="B8">
            <v>4.0999999999999996</v>
          </cell>
          <cell r="C8">
            <v>4.0999999999999996</v>
          </cell>
          <cell r="D8">
            <v>0.98747683521711005</v>
          </cell>
          <cell r="I8">
            <v>1.7891897279399399E-8</v>
          </cell>
          <cell r="J8">
            <v>1.00561168454787E-6</v>
          </cell>
          <cell r="K8">
            <v>21.628311479228302</v>
          </cell>
          <cell r="L8">
            <v>32500434.59</v>
          </cell>
          <cell r="M8">
            <v>1312650.3400000001</v>
          </cell>
        </row>
        <row r="9">
          <cell r="B9">
            <v>4.21</v>
          </cell>
          <cell r="C9">
            <v>4.21</v>
          </cell>
          <cell r="D9">
            <v>1.03223151979565</v>
          </cell>
          <cell r="I9">
            <v>1.9114835784748001E-8</v>
          </cell>
          <cell r="J9">
            <v>1.03152178009739E-6</v>
          </cell>
          <cell r="K9">
            <v>22.200342850693499</v>
          </cell>
          <cell r="L9">
            <v>36277324.090000004</v>
          </cell>
          <cell r="M9">
            <v>1413229.98</v>
          </cell>
        </row>
        <row r="10">
          <cell r="B10">
            <v>4.0999999999999996</v>
          </cell>
          <cell r="C10">
            <v>4.0999999999999996</v>
          </cell>
          <cell r="D10">
            <v>1.0571201258954901</v>
          </cell>
          <cell r="I10">
            <v>2.05265883465345E-8</v>
          </cell>
          <cell r="J10">
            <v>1.00651896459894E-6</v>
          </cell>
          <cell r="K10">
            <v>21.691653956398898</v>
          </cell>
          <cell r="L10">
            <v>30799847.77</v>
          </cell>
          <cell r="M10">
            <v>1282184.83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3_E1"/>
    </sheetNames>
    <sheetDataSet>
      <sheetData sheetId="0">
        <row r="2">
          <cell r="B2">
            <v>5.96</v>
          </cell>
          <cell r="C2">
            <v>5.96</v>
          </cell>
          <cell r="D2">
            <v>3.0219446072485199</v>
          </cell>
          <cell r="I2">
            <v>7.8850859091768199E-8</v>
          </cell>
          <cell r="J2">
            <v>1.4998034175901101E-6</v>
          </cell>
          <cell r="K2">
            <v>32.886479487340701</v>
          </cell>
          <cell r="L2">
            <v>14127024.33</v>
          </cell>
          <cell r="M2">
            <v>649037.89</v>
          </cell>
        </row>
        <row r="3">
          <cell r="B3">
            <v>5.64</v>
          </cell>
          <cell r="C3">
            <v>5.64</v>
          </cell>
          <cell r="D3">
            <v>2.6033074860710501</v>
          </cell>
          <cell r="I3">
            <v>7.3079542520066103E-8</v>
          </cell>
          <cell r="J3">
            <v>1.42975517032179E-6</v>
          </cell>
          <cell r="K3">
            <v>31.937434860887301</v>
          </cell>
          <cell r="L3">
            <v>14202274.369999999</v>
          </cell>
          <cell r="M3">
            <v>644814.06000000006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3_P2"/>
    </sheetNames>
    <sheetDataSet>
      <sheetData sheetId="0">
        <row r="2">
          <cell r="B2">
            <v>4.0599999999999996</v>
          </cell>
          <cell r="C2">
            <v>4.0599999999999996</v>
          </cell>
          <cell r="D2">
            <v>1.00732828357846</v>
          </cell>
          <cell r="I2">
            <v>2.0628162392529298E-8</v>
          </cell>
          <cell r="J2">
            <v>9.9710340567817494E-7</v>
          </cell>
          <cell r="K2">
            <v>21.5323145011379</v>
          </cell>
          <cell r="L2">
            <v>30395219.23</v>
          </cell>
          <cell r="M2">
            <v>1263926.7</v>
          </cell>
        </row>
        <row r="3">
          <cell r="B3">
            <v>4.0599999999999996</v>
          </cell>
          <cell r="C3">
            <v>4.0599999999999996</v>
          </cell>
          <cell r="D3">
            <v>1.0036116310476499</v>
          </cell>
          <cell r="I3">
            <v>2.05255017305442E-8</v>
          </cell>
          <cell r="J3">
            <v>9.9774067851741596E-7</v>
          </cell>
          <cell r="K3">
            <v>21.5450982434376</v>
          </cell>
          <cell r="L3">
            <v>30622711.23</v>
          </cell>
          <cell r="M3">
            <v>1268424.06</v>
          </cell>
        </row>
        <row r="4">
          <cell r="B4">
            <v>3.88</v>
          </cell>
          <cell r="C4">
            <v>3.88</v>
          </cell>
          <cell r="D4">
            <v>0.90307833983505703</v>
          </cell>
          <cell r="I4">
            <v>1.59314423934255E-8</v>
          </cell>
          <cell r="J4">
            <v>9.4996347313012201E-7</v>
          </cell>
          <cell r="K4">
            <v>20.4096671715924</v>
          </cell>
          <cell r="L4">
            <v>25009538.109999999</v>
          </cell>
          <cell r="M4">
            <v>1142764.29</v>
          </cell>
        </row>
        <row r="5">
          <cell r="B5">
            <v>4.05</v>
          </cell>
          <cell r="C5">
            <v>4.05</v>
          </cell>
          <cell r="D5">
            <v>1.0433351196519101</v>
          </cell>
          <cell r="I5">
            <v>2.16529416529121E-8</v>
          </cell>
          <cell r="J5">
            <v>9.9562309590698495E-7</v>
          </cell>
          <cell r="K5">
            <v>21.5186929231437</v>
          </cell>
          <cell r="L5">
            <v>29389921.59</v>
          </cell>
          <cell r="M5">
            <v>1245763.44</v>
          </cell>
        </row>
        <row r="6">
          <cell r="B6">
            <v>4.05</v>
          </cell>
          <cell r="C6">
            <v>4.05</v>
          </cell>
          <cell r="D6">
            <v>0.96307280177097299</v>
          </cell>
          <cell r="I6">
            <v>1.8239630812232299E-8</v>
          </cell>
          <cell r="J6">
            <v>9.9344320533736095E-7</v>
          </cell>
          <cell r="K6">
            <v>21.403252649731801</v>
          </cell>
          <cell r="L6">
            <v>30980226.420000002</v>
          </cell>
          <cell r="M6">
            <v>1273637.6399999999</v>
          </cell>
        </row>
        <row r="7">
          <cell r="B7">
            <v>4.45</v>
          </cell>
          <cell r="C7">
            <v>4.45</v>
          </cell>
          <cell r="D7">
            <v>1.5280255809385499</v>
          </cell>
          <cell r="I7">
            <v>3.8946873048654797E-8</v>
          </cell>
          <cell r="J7">
            <v>1.1055878350515901E-6</v>
          </cell>
          <cell r="K7">
            <v>24.217680687203099</v>
          </cell>
          <cell r="L7">
            <v>35451633.609999999</v>
          </cell>
          <cell r="M7">
            <v>1430427.88</v>
          </cell>
        </row>
        <row r="8">
          <cell r="B8">
            <v>4.09</v>
          </cell>
          <cell r="C8">
            <v>4.09</v>
          </cell>
          <cell r="D8">
            <v>0.97569440294199605</v>
          </cell>
          <cell r="I8">
            <v>1.81432989881681E-8</v>
          </cell>
          <cell r="J8">
            <v>1.00315432488743E-6</v>
          </cell>
          <cell r="K8">
            <v>21.596493813853598</v>
          </cell>
          <cell r="L8">
            <v>32426841.100000001</v>
          </cell>
          <cell r="M8">
            <v>1305416.8799999999</v>
          </cell>
        </row>
        <row r="9">
          <cell r="B9">
            <v>4.2</v>
          </cell>
          <cell r="C9">
            <v>4.2</v>
          </cell>
          <cell r="D9">
            <v>1.02305873881237</v>
          </cell>
          <cell r="I9">
            <v>1.9878525768049298E-8</v>
          </cell>
          <cell r="J9">
            <v>1.0295626069607699E-6</v>
          </cell>
          <cell r="K9">
            <v>22.191844275339299</v>
          </cell>
          <cell r="L9">
            <v>36162289.560000002</v>
          </cell>
          <cell r="M9">
            <v>1403983.69</v>
          </cell>
        </row>
        <row r="10">
          <cell r="B10">
            <v>4.09</v>
          </cell>
          <cell r="C10">
            <v>4.09</v>
          </cell>
          <cell r="D10">
            <v>1.04532705872175</v>
          </cell>
          <cell r="I10">
            <v>2.08117987912071E-8</v>
          </cell>
          <cell r="J10">
            <v>1.0040715073461899E-6</v>
          </cell>
          <cell r="K10">
            <v>21.6583501400914</v>
          </cell>
          <cell r="L10">
            <v>30854024.98</v>
          </cell>
          <cell r="M10">
            <v>1277357.83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ocess_results_C3_E2"/>
    </sheetNames>
    <sheetDataSet>
      <sheetData sheetId="0">
        <row r="2">
          <cell r="B2">
            <v>4.8</v>
          </cell>
          <cell r="C2">
            <v>4.8</v>
          </cell>
          <cell r="D2">
            <v>1.8180477430613999</v>
          </cell>
          <cell r="I2">
            <v>4.5297386272110501E-8</v>
          </cell>
          <cell r="J2">
            <v>1.19402325935631E-6</v>
          </cell>
          <cell r="K2">
            <v>26.046133732142099</v>
          </cell>
          <cell r="L2">
            <v>11355775.08</v>
          </cell>
          <cell r="M2">
            <v>534239.93000000005</v>
          </cell>
        </row>
        <row r="3">
          <cell r="B3">
            <v>5.03</v>
          </cell>
          <cell r="C3">
            <v>5.03</v>
          </cell>
          <cell r="D3">
            <v>2.1889835925421899</v>
          </cell>
          <cell r="I3">
            <v>5.7831863664200903E-8</v>
          </cell>
          <cell r="J3">
            <v>1.25360668901085E-6</v>
          </cell>
          <cell r="K3">
            <v>27.5188409486341</v>
          </cell>
          <cell r="L3">
            <v>11546714.960000001</v>
          </cell>
          <cell r="M3">
            <v>542275.86</v>
          </cell>
        </row>
        <row r="4">
          <cell r="B4">
            <v>4.88</v>
          </cell>
          <cell r="C4">
            <v>4.88</v>
          </cell>
          <cell r="D4">
            <v>1.9651761863997901</v>
          </cell>
          <cell r="I4">
            <v>4.9998680404929898E-8</v>
          </cell>
          <cell r="J4">
            <v>1.21403069505138E-6</v>
          </cell>
          <cell r="K4">
            <v>26.541605990073101</v>
          </cell>
          <cell r="L4">
            <v>11380046.279999999</v>
          </cell>
          <cell r="M4">
            <v>536199.72</v>
          </cell>
        </row>
        <row r="5">
          <cell r="B5">
            <v>4.78</v>
          </cell>
          <cell r="C5">
            <v>4.78</v>
          </cell>
          <cell r="D5">
            <v>1.75031893618475</v>
          </cell>
          <cell r="I5">
            <v>4.2185849820538299E-8</v>
          </cell>
          <cell r="J5">
            <v>1.1850359108780201E-6</v>
          </cell>
          <cell r="K5">
            <v>25.7897856826478</v>
          </cell>
          <cell r="L5">
            <v>11082813.359999999</v>
          </cell>
          <cell r="M5">
            <v>528410.87</v>
          </cell>
        </row>
        <row r="6">
          <cell r="B6">
            <v>4.78</v>
          </cell>
          <cell r="C6">
            <v>4.78</v>
          </cell>
          <cell r="D6">
            <v>1.74164532767707</v>
          </cell>
          <cell r="I6">
            <v>4.3385182635488897E-8</v>
          </cell>
          <cell r="J6">
            <v>1.1888775933325601E-6</v>
          </cell>
          <cell r="K6">
            <v>25.9346270288646</v>
          </cell>
          <cell r="L6">
            <v>11303950.24</v>
          </cell>
          <cell r="M6">
            <v>532749.84</v>
          </cell>
        </row>
        <row r="7">
          <cell r="B7">
            <v>4.63</v>
          </cell>
          <cell r="C7">
            <v>4.63</v>
          </cell>
          <cell r="D7">
            <v>1.5486108838859201</v>
          </cell>
          <cell r="I7">
            <v>3.9184175842608399E-8</v>
          </cell>
          <cell r="J7">
            <v>1.1519288238016301E-6</v>
          </cell>
          <cell r="K7">
            <v>25.326858294494599</v>
          </cell>
          <cell r="L7">
            <v>10923360.890000001</v>
          </cell>
          <cell r="M7">
            <v>523491.93</v>
          </cell>
        </row>
        <row r="8">
          <cell r="B8">
            <v>4.6100000000000003</v>
          </cell>
          <cell r="C8">
            <v>4.6100000000000003</v>
          </cell>
          <cell r="D8">
            <v>1.5675078956342099</v>
          </cell>
          <cell r="I8">
            <v>3.7224342218676801E-8</v>
          </cell>
          <cell r="J8">
            <v>1.1436694875818899E-6</v>
          </cell>
          <cell r="K8">
            <v>24.859821660100099</v>
          </cell>
          <cell r="L8">
            <v>10577427.539999999</v>
          </cell>
          <cell r="M8">
            <v>516571.47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10" defaultRowHeight="16"/>
  <sheetData>
    <row r="1" ht="204" customFormat="1" customHeight="1" s="12">
      <c r="A1" s="10" t="inlineStr">
        <is>
          <t>Wash number</t>
        </is>
      </c>
      <c r="B1" s="10">
        <f>'[1]Final Data (use this)'!C11</f>
        <v/>
      </c>
      <c r="C1" s="10">
        <f>'[1]Final Data (use this)'!D11</f>
        <v/>
      </c>
      <c r="D1" s="10">
        <f>'[1]Final Data (use this)'!E3</f>
        <v/>
      </c>
      <c r="E1" s="10">
        <f>'[1]Final Data (use this)'!F3</f>
        <v/>
      </c>
      <c r="F1" s="10">
        <f>'[1]Final Data (use this)'!H3</f>
        <v/>
      </c>
      <c r="G1" s="11">
        <f>'[1]Final Data (use this)'!I3</f>
        <v/>
      </c>
      <c r="H1" s="11">
        <f>'[1]Final Data (use this)'!J3</f>
        <v/>
      </c>
      <c r="I1" s="10">
        <f>'[1]Final Data (use this)'!L3</f>
        <v/>
      </c>
      <c r="J1" s="10">
        <f>'[1]Final Data (use this)'!M3</f>
        <v/>
      </c>
      <c r="K1" s="10">
        <f>'[1]Final Data (use this)'!O3</f>
        <v/>
      </c>
      <c r="L1" s="11">
        <f>'[1]Final Data (use this)'!P3</f>
        <v/>
      </c>
      <c r="M1" s="10">
        <f>'[1]Final Data (use this)'!R3</f>
        <v/>
      </c>
      <c r="N1" s="10">
        <f>'[1]Final Data (use this)'!S3</f>
        <v/>
      </c>
      <c r="O1" s="10">
        <f>'[1]Final Data (use this)'!T3</f>
        <v/>
      </c>
      <c r="P1" s="10" t="inlineStr">
        <is>
          <t>Ecotoxicity [CTUe/ton resin]</t>
        </is>
      </c>
      <c r="Q1" s="10" t="inlineStr">
        <is>
          <t>CAPEX [USD]</t>
        </is>
      </c>
      <c r="R1" s="10" t="inlineStr">
        <is>
          <t>OPEX [USD/ton]</t>
        </is>
      </c>
    </row>
    <row r="2">
      <c r="A2" t="inlineStr">
        <is>
          <t>Wash 1</t>
        </is>
      </c>
      <c r="B2" t="inlineStr">
        <is>
          <t>PE</t>
        </is>
      </c>
      <c r="C2" t="inlineStr">
        <is>
          <t>sec-Butyl Acetate</t>
        </is>
      </c>
      <c r="D2">
        <f>[2]Process_results_C1_P1!B2+Shredder!$B$2</f>
        <v/>
      </c>
      <c r="F2">
        <f>M2</f>
        <v/>
      </c>
      <c r="I2" t="n">
        <v>1006.01</v>
      </c>
      <c r="J2" t="n">
        <v>65401.74</v>
      </c>
      <c r="K2" t="n">
        <v>7403.53</v>
      </c>
      <c r="M2">
        <f>[2]Process_results_C1_P1!C2+Shredder!$K$2</f>
        <v/>
      </c>
      <c r="N2" s="4">
        <f>[2]Process_results_C1_P1!H2+Shredder!$L$2</f>
        <v/>
      </c>
      <c r="O2" s="4">
        <f>[2]Process_results_C1_P1!I2+Shredder!$M$2</f>
        <v/>
      </c>
      <c r="P2" s="4">
        <f>[2]Process_results_C1_P1!J2+Shredder!$N$2</f>
        <v/>
      </c>
      <c r="Q2" s="4">
        <f>[2]Process_results_C1_P1!K2+Shredder!$O$2</f>
        <v/>
      </c>
      <c r="R2" s="4">
        <f>[2]Process_results_C1_P1!L2+Shredder!$P$2</f>
        <v/>
      </c>
    </row>
    <row r="3">
      <c r="A3" t="inlineStr">
        <is>
          <t>Wash 1</t>
        </is>
      </c>
      <c r="B3" t="inlineStr">
        <is>
          <t>PE</t>
        </is>
      </c>
      <c r="C3" t="inlineStr">
        <is>
          <t>Isobutyl Acetate</t>
        </is>
      </c>
      <c r="D3">
        <f>[2]Process_results_C1_P1!B3+Shredder!$B$2</f>
        <v/>
      </c>
      <c r="F3">
        <f>M3</f>
        <v/>
      </c>
      <c r="I3" t="n">
        <v>994.95</v>
      </c>
      <c r="J3" t="n">
        <v>64491.6</v>
      </c>
      <c r="K3" t="n">
        <v>7463.47</v>
      </c>
      <c r="M3">
        <f>[2]Process_results_C1_P1!C3+Shredder!$K$2</f>
        <v/>
      </c>
      <c r="N3" s="4">
        <f>[2]Process_results_C1_P1!H3+Shredder!$L$2</f>
        <v/>
      </c>
      <c r="O3" s="4">
        <f>[2]Process_results_C1_P1!I3+Shredder!$M$2</f>
        <v/>
      </c>
      <c r="P3" s="4">
        <f>[2]Process_results_C1_P1!J3+Shredder!$N$2</f>
        <v/>
      </c>
      <c r="Q3" s="4">
        <f>[2]Process_results_C1_P1!K3+Shredder!$O$2</f>
        <v/>
      </c>
      <c r="R3" s="4">
        <f>[2]Process_results_C1_P1!L3+Shredder!$P$2</f>
        <v/>
      </c>
    </row>
    <row r="4">
      <c r="A4" t="inlineStr">
        <is>
          <t>Wash 1</t>
        </is>
      </c>
      <c r="B4" t="inlineStr">
        <is>
          <t>PE</t>
        </is>
      </c>
      <c r="C4" t="inlineStr">
        <is>
          <t>Tetrachloroethylene</t>
        </is>
      </c>
      <c r="D4">
        <f>[2]Process_results_C1_P1!B4+Shredder!$B$2</f>
        <v/>
      </c>
      <c r="F4">
        <f>M4</f>
        <v/>
      </c>
      <c r="I4" t="n">
        <v>683.96</v>
      </c>
      <c r="J4" t="n">
        <v>38449.65</v>
      </c>
      <c r="K4" t="n">
        <v>4419.13</v>
      </c>
      <c r="M4">
        <f>[2]Process_results_C1_P1!C4+Shredder!$K$2</f>
        <v/>
      </c>
      <c r="N4" s="4">
        <f>[2]Process_results_C1_P1!H4+Shredder!$L$2</f>
        <v/>
      </c>
      <c r="O4" s="4">
        <f>[2]Process_results_C1_P1!I4+Shredder!$M$2</f>
        <v/>
      </c>
      <c r="P4" s="4">
        <f>[2]Process_results_C1_P1!J4+Shredder!$N$2</f>
        <v/>
      </c>
      <c r="Q4" s="4">
        <f>[2]Process_results_C1_P1!K4+Shredder!$O$2</f>
        <v/>
      </c>
      <c r="R4" s="4">
        <f>[2]Process_results_C1_P1!L4+Shredder!$P$2</f>
        <v/>
      </c>
    </row>
    <row r="5">
      <c r="A5" t="inlineStr">
        <is>
          <t>Wash 1</t>
        </is>
      </c>
      <c r="B5" t="inlineStr">
        <is>
          <t>PE</t>
        </is>
      </c>
      <c r="C5" t="inlineStr">
        <is>
          <t>o-Chlorotoluene</t>
        </is>
      </c>
      <c r="D5">
        <f>[2]Process_results_C1_P1!B5+Shredder!$B$2</f>
        <v/>
      </c>
      <c r="F5">
        <f>M5</f>
        <v/>
      </c>
      <c r="I5" t="n">
        <v>1139.79</v>
      </c>
      <c r="J5" t="n">
        <v>76633.44</v>
      </c>
      <c r="K5" t="n">
        <v>6319.81</v>
      </c>
      <c r="M5">
        <f>[2]Process_results_C1_P1!C5+Shredder!$K$2</f>
        <v/>
      </c>
      <c r="N5" s="4">
        <f>[2]Process_results_C1_P1!H5+Shredder!$L$2</f>
        <v/>
      </c>
      <c r="O5" s="4">
        <f>[2]Process_results_C1_P1!I5+Shredder!$M$2</f>
        <v/>
      </c>
      <c r="P5" s="4">
        <f>[2]Process_results_C1_P1!J5+Shredder!$N$2</f>
        <v/>
      </c>
      <c r="Q5" s="4">
        <f>[2]Process_results_C1_P1!K5+Shredder!$O$2</f>
        <v/>
      </c>
      <c r="R5" s="4">
        <f>[2]Process_results_C1_P1!L5+Shredder!$P$2</f>
        <v/>
      </c>
    </row>
    <row r="6">
      <c r="A6" t="inlineStr">
        <is>
          <t>Wash 1</t>
        </is>
      </c>
      <c r="B6" t="inlineStr">
        <is>
          <t>PE</t>
        </is>
      </c>
      <c r="C6" t="inlineStr">
        <is>
          <t>Methylcyclohexane</t>
        </is>
      </c>
      <c r="D6">
        <f>[2]Process_results_C1_P1!B6+Shredder!$B$2</f>
        <v/>
      </c>
      <c r="F6">
        <f>M6</f>
        <v/>
      </c>
      <c r="I6" t="n">
        <v>887.08</v>
      </c>
      <c r="J6" t="n">
        <v>55514.4</v>
      </c>
      <c r="K6" t="n">
        <v>8129.51</v>
      </c>
      <c r="M6">
        <f>[2]Process_results_C1_P1!C6+Shredder!$K$2</f>
        <v/>
      </c>
      <c r="N6" s="4">
        <f>[2]Process_results_C1_P1!H6+Shredder!$L$2</f>
        <v/>
      </c>
      <c r="O6" s="4">
        <f>[2]Process_results_C1_P1!I6+Shredder!$M$2</f>
        <v/>
      </c>
      <c r="P6" s="4">
        <f>[2]Process_results_C1_P1!J6+Shredder!$N$2</f>
        <v/>
      </c>
      <c r="Q6" s="4">
        <f>[2]Process_results_C1_P1!K6+Shredder!$O$2</f>
        <v/>
      </c>
      <c r="R6" s="4">
        <f>[2]Process_results_C1_P1!L6+Shredder!$P$2</f>
        <v/>
      </c>
    </row>
    <row r="7">
      <c r="A7" t="inlineStr">
        <is>
          <t>Wash 1</t>
        </is>
      </c>
      <c r="B7" t="inlineStr">
        <is>
          <t>PE</t>
        </is>
      </c>
      <c r="C7" t="inlineStr">
        <is>
          <t>Dodecanol</t>
        </is>
      </c>
      <c r="D7">
        <f>[2]Process_results_C1_P1!B7+Shredder!$B$2</f>
        <v/>
      </c>
      <c r="F7">
        <f>M7</f>
        <v/>
      </c>
      <c r="I7" t="n">
        <v>2487.39</v>
      </c>
      <c r="J7" t="n">
        <v>187927.49</v>
      </c>
      <c r="K7" t="n">
        <v>8514.940000000001</v>
      </c>
      <c r="M7">
        <f>[2]Process_results_C1_P1!C7+Shredder!$K$2</f>
        <v/>
      </c>
      <c r="N7" s="4">
        <f>[2]Process_results_C1_P1!H7+Shredder!$L$2</f>
        <v/>
      </c>
      <c r="O7" s="4">
        <f>[2]Process_results_C1_P1!I7+Shredder!$M$2</f>
        <v/>
      </c>
      <c r="P7" s="4">
        <f>[2]Process_results_C1_P1!J7+Shredder!$N$2</f>
        <v/>
      </c>
      <c r="Q7" s="4">
        <f>[2]Process_results_C1_P1!K7+Shredder!$O$2</f>
        <v/>
      </c>
      <c r="R7" s="4">
        <f>[2]Process_results_C1_P1!L7+Shredder!$P$2</f>
        <v/>
      </c>
    </row>
    <row r="8">
      <c r="A8" t="inlineStr">
        <is>
          <t>Wash 1</t>
        </is>
      </c>
      <c r="B8" t="inlineStr">
        <is>
          <t>PE</t>
        </is>
      </c>
      <c r="C8" t="inlineStr">
        <is>
          <t>Heptane</t>
        </is>
      </c>
      <c r="D8">
        <f>[2]Process_results_C1_P1!B8+Shredder!$B$2</f>
        <v/>
      </c>
      <c r="F8">
        <f>M8</f>
        <v/>
      </c>
      <c r="I8" t="n">
        <v>920.27</v>
      </c>
      <c r="J8" t="n">
        <v>58179.21</v>
      </c>
      <c r="K8" t="n">
        <v>9006.42</v>
      </c>
      <c r="M8">
        <f>[2]Process_results_C1_P1!C8+Shredder!$K$2</f>
        <v/>
      </c>
      <c r="N8" s="4">
        <f>[2]Process_results_C1_P1!H8+Shredder!$L$2</f>
        <v/>
      </c>
      <c r="O8" s="4">
        <f>[2]Process_results_C1_P1!I8+Shredder!$M$2</f>
        <v/>
      </c>
      <c r="P8" s="4">
        <f>[2]Process_results_C1_P1!J8+Shredder!$N$2</f>
        <v/>
      </c>
      <c r="Q8" s="4">
        <f>[2]Process_results_C1_P1!K8+Shredder!$O$2</f>
        <v/>
      </c>
      <c r="R8" s="4">
        <f>[2]Process_results_C1_P1!L8+Shredder!$P$2</f>
        <v/>
      </c>
    </row>
    <row r="9">
      <c r="A9" t="inlineStr">
        <is>
          <t>Wash 1</t>
        </is>
      </c>
      <c r="B9" t="inlineStr">
        <is>
          <t>PE</t>
        </is>
      </c>
      <c r="C9" t="inlineStr">
        <is>
          <t>Toluene</t>
        </is>
      </c>
      <c r="D9">
        <f>[2]Process_results_C1_P1!B9+Shredder!$B$2</f>
        <v/>
      </c>
      <c r="F9">
        <f>M9</f>
        <v/>
      </c>
      <c r="I9" t="n">
        <v>1040.73</v>
      </c>
      <c r="J9" t="n">
        <v>67836.92999999999</v>
      </c>
      <c r="K9" t="n">
        <v>11871.24</v>
      </c>
      <c r="M9">
        <f>[2]Process_results_C1_P1!C9+Shredder!$K$2</f>
        <v/>
      </c>
      <c r="N9" s="4">
        <f>[2]Process_results_C1_P1!H9+Shredder!$L$2</f>
        <v/>
      </c>
      <c r="O9" s="4">
        <f>[2]Process_results_C1_P1!I9+Shredder!$M$2</f>
        <v/>
      </c>
      <c r="P9" s="4">
        <f>[2]Process_results_C1_P1!J9+Shredder!$N$2</f>
        <v/>
      </c>
      <c r="Q9" s="4">
        <f>[2]Process_results_C1_P1!K9+Shredder!$O$2</f>
        <v/>
      </c>
      <c r="R9" s="4">
        <f>[2]Process_results_C1_P1!L9+Shredder!$P$2</f>
        <v/>
      </c>
    </row>
    <row r="10">
      <c r="A10" t="inlineStr">
        <is>
          <t>Wash 1</t>
        </is>
      </c>
      <c r="B10" t="inlineStr">
        <is>
          <t>PE</t>
        </is>
      </c>
      <c r="C10" t="inlineStr">
        <is>
          <t>Xylene</t>
        </is>
      </c>
      <c r="D10">
        <f>[2]Process_results_C1_P1!B10+Shredder!$B$2</f>
        <v/>
      </c>
      <c r="F10">
        <f>M10</f>
        <v/>
      </c>
      <c r="I10" t="n">
        <v>1159.2</v>
      </c>
      <c r="J10" t="n">
        <v>78331.71000000001</v>
      </c>
      <c r="K10" t="n">
        <v>7294.56</v>
      </c>
      <c r="M10">
        <f>[2]Process_results_C1_P1!C10+Shredder!$K$2</f>
        <v/>
      </c>
      <c r="N10" s="4">
        <f>[2]Process_results_C1_P1!H10+Shredder!$L$2</f>
        <v/>
      </c>
      <c r="O10" s="4">
        <f>[2]Process_results_C1_P1!I10+Shredder!$M$2</f>
        <v/>
      </c>
      <c r="P10" s="4">
        <f>[2]Process_results_C1_P1!J10+Shredder!$N$2</f>
        <v/>
      </c>
      <c r="Q10" s="4">
        <f>[2]Process_results_C1_P1!K10+Shredder!$O$2</f>
        <v/>
      </c>
      <c r="R10" s="4">
        <f>[2]Process_results_C1_P1!L10+Shredder!$P$2</f>
        <v/>
      </c>
    </row>
    <row r="11">
      <c r="A11" t="inlineStr">
        <is>
          <t>Wash 1</t>
        </is>
      </c>
      <c r="B11" t="inlineStr">
        <is>
          <t>EVOH</t>
        </is>
      </c>
      <c r="C11">
        <f>[3]Process_results_C1_E1!$A$2</f>
        <v/>
      </c>
      <c r="D11">
        <f>[3]Process_results_C1_E1!B2+Shredder!$B$2</f>
        <v/>
      </c>
      <c r="F11">
        <f>M11</f>
        <v/>
      </c>
      <c r="I11" t="n">
        <v>1512.92</v>
      </c>
      <c r="J11" t="n">
        <v>125060.56</v>
      </c>
      <c r="K11" s="6" t="n">
        <v>2426.35</v>
      </c>
      <c r="M11">
        <f>[3]Process_results_C1_E1!C2+Shredder!$K$2</f>
        <v/>
      </c>
      <c r="N11" s="4">
        <f>[3]Process_results_C1_E1!H2+Shredder!$L$2</f>
        <v/>
      </c>
      <c r="O11" s="4">
        <f>[3]Process_results_C1_E1!I2+Shredder!$M$2</f>
        <v/>
      </c>
      <c r="P11" s="4">
        <f>[3]Process_results_C1_E1!J2+Shredder!$N$2</f>
        <v/>
      </c>
      <c r="Q11" s="4">
        <f>[3]Process_results_C1_E1!K2+Shredder!$O$2</f>
        <v/>
      </c>
      <c r="R11" s="4">
        <f>[3]Process_results_C1_E1!L2+Shredder!$P$2</f>
        <v/>
      </c>
    </row>
    <row r="12">
      <c r="A12" t="inlineStr">
        <is>
          <t>Wash 1</t>
        </is>
      </c>
      <c r="B12" t="inlineStr">
        <is>
          <t>EVOH</t>
        </is>
      </c>
      <c r="C12">
        <f>[3]Process_results_C1_E1!$A$3</f>
        <v/>
      </c>
      <c r="D12">
        <f>[3]Process_results_C1_E1!B3+Shredder!$B$2</f>
        <v/>
      </c>
      <c r="F12">
        <f>M12</f>
        <v/>
      </c>
      <c r="I12" t="n">
        <v>964.84</v>
      </c>
      <c r="J12" t="n">
        <v>76612.87</v>
      </c>
      <c r="K12" s="6" t="n">
        <v>2837.85</v>
      </c>
      <c r="M12">
        <f>[3]Process_results_C1_E1!C3+Shredder!$K$2</f>
        <v/>
      </c>
      <c r="N12" s="4">
        <f>[3]Process_results_C1_E1!H3+Shredder!$L$2</f>
        <v/>
      </c>
      <c r="O12" s="4">
        <f>[3]Process_results_C1_E1!I3+Shredder!$M$2</f>
        <v/>
      </c>
      <c r="P12" s="4">
        <f>[3]Process_results_C1_E1!J3+Shredder!$N$2</f>
        <v/>
      </c>
      <c r="Q12" s="4">
        <f>[3]Process_results_C1_E1!K3+Shredder!$O$2</f>
        <v/>
      </c>
      <c r="R12" s="4">
        <f>[3]Process_results_C1_E1!L3+Shredder!$P$2</f>
        <v/>
      </c>
    </row>
    <row r="13">
      <c r="A13" t="inlineStr">
        <is>
          <t>Wash 2</t>
        </is>
      </c>
      <c r="B13" t="inlineStr">
        <is>
          <t>PE</t>
        </is>
      </c>
      <c r="C13" t="inlineStr">
        <is>
          <t>sec-Butyl Acetate</t>
        </is>
      </c>
      <c r="D13" t="n">
        <v>5.02</v>
      </c>
      <c r="F13">
        <f>M13</f>
        <v/>
      </c>
      <c r="I13" t="n">
        <v>966.49</v>
      </c>
      <c r="J13" t="n">
        <v>62262.96</v>
      </c>
      <c r="K13" s="6" t="n">
        <v>7303.6</v>
      </c>
      <c r="M13" t="n">
        <v>1.20053287965238</v>
      </c>
      <c r="N13" s="4" t="n">
        <v>4.53380190578712e-08</v>
      </c>
      <c r="O13" s="4" t="n">
        <v>2.50785076095322e-08</v>
      </c>
      <c r="P13" t="n">
        <v>1.27777753343092</v>
      </c>
      <c r="Q13" t="n">
        <v>40931215.16</v>
      </c>
      <c r="R13" t="n">
        <v>1047740.07</v>
      </c>
    </row>
    <row r="14">
      <c r="A14" t="inlineStr">
        <is>
          <t>Wash 2</t>
        </is>
      </c>
      <c r="B14" t="inlineStr">
        <is>
          <t>PE</t>
        </is>
      </c>
      <c r="C14" t="inlineStr">
        <is>
          <t>Isobutyl Acetate</t>
        </is>
      </c>
      <c r="D14" t="n">
        <v>5.02</v>
      </c>
      <c r="F14">
        <f>M14</f>
        <v/>
      </c>
      <c r="I14" t="n">
        <v>958.02</v>
      </c>
      <c r="J14" t="n">
        <v>61569.48</v>
      </c>
      <c r="K14" s="6" t="n">
        <v>7363.19</v>
      </c>
      <c r="M14" t="n">
        <v>1.19681298142536</v>
      </c>
      <c r="N14" s="4" t="n">
        <v>4.52464157081559e-08</v>
      </c>
      <c r="O14" s="4" t="n">
        <v>2.50902234385171e-08</v>
      </c>
      <c r="P14" t="n">
        <v>1.27744535725179</v>
      </c>
      <c r="Q14" t="n">
        <v>41185361.56</v>
      </c>
      <c r="R14" t="n">
        <v>1052268.16</v>
      </c>
    </row>
    <row r="15">
      <c r="A15" t="inlineStr">
        <is>
          <t>Wash 2</t>
        </is>
      </c>
      <c r="B15" t="inlineStr">
        <is>
          <t>PE</t>
        </is>
      </c>
      <c r="C15" t="inlineStr">
        <is>
          <t>Tetrachloroethylene</t>
        </is>
      </c>
      <c r="D15" t="n">
        <v>4.8</v>
      </c>
      <c r="F15">
        <f>M15</f>
        <v/>
      </c>
      <c r="I15" t="n">
        <v>656.12</v>
      </c>
      <c r="J15" t="n">
        <v>36362.45</v>
      </c>
      <c r="K15" s="6" t="n">
        <v>4341.89</v>
      </c>
      <c r="M15" t="n">
        <v>1.09651032513067</v>
      </c>
      <c r="N15" s="4" t="n">
        <v>3.98666382575951e-08</v>
      </c>
      <c r="O15" s="4" t="n">
        <v>2.17642790773623e-08</v>
      </c>
      <c r="P15" t="n">
        <v>1.0740142571786</v>
      </c>
      <c r="Q15" t="n">
        <v>35754823.19</v>
      </c>
      <c r="R15" t="n">
        <v>938269.24</v>
      </c>
    </row>
    <row r="16">
      <c r="A16" t="inlineStr">
        <is>
          <t>Wash 2</t>
        </is>
      </c>
      <c r="B16" t="inlineStr">
        <is>
          <t>PE</t>
        </is>
      </c>
      <c r="C16" t="inlineStr">
        <is>
          <t>o-Chlorotoluene</t>
        </is>
      </c>
      <c r="D16" t="n">
        <v>5.01</v>
      </c>
      <c r="F16">
        <f>M16</f>
        <v/>
      </c>
      <c r="I16" t="n">
        <v>1098.51</v>
      </c>
      <c r="J16" t="n">
        <v>73352.38</v>
      </c>
      <c r="K16" s="6" t="n">
        <v>6226.9</v>
      </c>
      <c r="M16" t="n">
        <v>1.23654791018955</v>
      </c>
      <c r="N16" s="4" t="n">
        <v>4.63348817363589e-08</v>
      </c>
      <c r="O16" s="4" t="n">
        <v>2.5177552122723e-08</v>
      </c>
      <c r="P16" t="n">
        <v>1.29726993498376</v>
      </c>
      <c r="Q16" t="n">
        <v>39697204.27</v>
      </c>
      <c r="R16" t="n">
        <v>1028423.1</v>
      </c>
    </row>
    <row r="17">
      <c r="A17" t="inlineStr">
        <is>
          <t>Wash 2</t>
        </is>
      </c>
      <c r="B17" t="inlineStr">
        <is>
          <t>PE</t>
        </is>
      </c>
      <c r="C17" t="inlineStr">
        <is>
          <t>Methylcyclohexane</t>
        </is>
      </c>
      <c r="D17" t="n">
        <v>5.01</v>
      </c>
      <c r="F17">
        <f>M17</f>
        <v/>
      </c>
      <c r="I17" t="n">
        <v>846.45</v>
      </c>
      <c r="J17" t="n">
        <v>52253.34</v>
      </c>
      <c r="K17" s="6" t="n">
        <v>8025.78</v>
      </c>
      <c r="M17" t="n">
        <v>1.15628554543666</v>
      </c>
      <c r="N17" s="4" t="n">
        <v>4.29217305772244e-08</v>
      </c>
      <c r="O17" s="4" t="n">
        <v>2.29886277203154e-08</v>
      </c>
      <c r="P17" t="n">
        <v>1.18164025115455</v>
      </c>
      <c r="Q17" t="n">
        <v>41755739.95</v>
      </c>
      <c r="R17" t="n">
        <v>1059416.72</v>
      </c>
    </row>
    <row r="18">
      <c r="A18" t="inlineStr">
        <is>
          <t>Wash 2</t>
        </is>
      </c>
      <c r="B18" t="inlineStr">
        <is>
          <t>PE</t>
        </is>
      </c>
      <c r="C18" t="inlineStr">
        <is>
          <t>Dodecanol</t>
        </is>
      </c>
      <c r="D18" t="n">
        <v>5.48</v>
      </c>
      <c r="F18">
        <f>M18</f>
        <v/>
      </c>
      <c r="I18" t="n">
        <v>2419.67</v>
      </c>
      <c r="J18" t="n">
        <v>182520.62</v>
      </c>
      <c r="K18" s="6" t="n">
        <v>8405.549999999999</v>
      </c>
      <c r="M18" t="n">
        <v>1.72074356371263</v>
      </c>
      <c r="N18" s="4" t="n">
        <v>6.531450507333391e-08</v>
      </c>
      <c r="O18" s="4" t="n">
        <v>3.97758599639699e-08</v>
      </c>
      <c r="P18" t="n">
        <v>1.99673036886323</v>
      </c>
      <c r="Q18" t="n">
        <v>45094363.81</v>
      </c>
      <c r="R18" t="n">
        <v>1186252</v>
      </c>
    </row>
    <row r="19">
      <c r="A19" t="inlineStr">
        <is>
          <t>Wash 2</t>
        </is>
      </c>
      <c r="B19" t="inlineStr">
        <is>
          <t>PE</t>
        </is>
      </c>
      <c r="C19" t="inlineStr">
        <is>
          <t>Heptane</t>
        </is>
      </c>
      <c r="D19" t="n">
        <v>5.06</v>
      </c>
      <c r="F19">
        <f>M19</f>
        <v/>
      </c>
      <c r="I19" t="n">
        <v>880.03</v>
      </c>
      <c r="J19" t="n">
        <v>54950.96</v>
      </c>
      <c r="K19" s="6" t="n">
        <v>8897.139999999999</v>
      </c>
      <c r="M19" t="n">
        <v>1.16885536614101</v>
      </c>
      <c r="N19" s="4" t="n">
        <v>4.30018024432668e-08</v>
      </c>
      <c r="O19" s="4" t="n">
        <v>2.27198749208076e-08</v>
      </c>
      <c r="P19" t="n">
        <v>1.16563559112257</v>
      </c>
      <c r="Q19" t="n">
        <v>43208033.3</v>
      </c>
      <c r="R19" t="n">
        <v>1088889.16</v>
      </c>
    </row>
    <row r="20">
      <c r="A20" t="inlineStr">
        <is>
          <t>Wash 2</t>
        </is>
      </c>
      <c r="B20" t="inlineStr">
        <is>
          <t>PE</t>
        </is>
      </c>
      <c r="C20" t="inlineStr">
        <is>
          <t>Toluene</t>
        </is>
      </c>
      <c r="D20" t="n">
        <v>5.18</v>
      </c>
      <c r="F20">
        <f>M20</f>
        <v/>
      </c>
      <c r="I20" t="n">
        <v>993.67</v>
      </c>
      <c r="J20" t="n">
        <v>64056.57</v>
      </c>
      <c r="K20" s="6" t="n">
        <v>11716.23</v>
      </c>
      <c r="M20" t="n">
        <v>1.21412327543286</v>
      </c>
      <c r="N20" s="4" t="n">
        <v>4.5108742512577e-08</v>
      </c>
      <c r="O20" s="4" t="n">
        <v>2.38763847717748e-08</v>
      </c>
      <c r="P20" t="n">
        <v>1.23029144487376</v>
      </c>
      <c r="Q20" t="n">
        <v>46986126.52</v>
      </c>
      <c r="R20" t="n">
        <v>1179441.83</v>
      </c>
    </row>
    <row r="21">
      <c r="A21" t="inlineStr">
        <is>
          <t>Wash 2</t>
        </is>
      </c>
      <c r="B21" t="inlineStr">
        <is>
          <t>PE</t>
        </is>
      </c>
      <c r="C21" t="inlineStr">
        <is>
          <t>Xylene</t>
        </is>
      </c>
      <c r="D21" t="n">
        <v>5.06</v>
      </c>
      <c r="F21">
        <f>M21</f>
        <v/>
      </c>
      <c r="I21" t="n">
        <v>1117.99</v>
      </c>
      <c r="J21" t="n">
        <v>75028.67</v>
      </c>
      <c r="K21" s="6" t="n">
        <v>7194.85</v>
      </c>
      <c r="M21" t="n">
        <v>1.23848992790617</v>
      </c>
      <c r="N21" s="4" t="n">
        <v>4.56638090089901e-08</v>
      </c>
      <c r="O21" s="4" t="n">
        <v>2.40044061550227e-08</v>
      </c>
      <c r="P21" t="n">
        <v>1.23519403964998</v>
      </c>
      <c r="Q21" t="n">
        <v>41234663.74</v>
      </c>
      <c r="R21" t="n">
        <v>1058246.06</v>
      </c>
    </row>
    <row r="22">
      <c r="A22" t="inlineStr">
        <is>
          <t>Wash 2</t>
        </is>
      </c>
      <c r="B22" t="inlineStr">
        <is>
          <t>EVOH</t>
        </is>
      </c>
      <c r="C22" t="inlineStr">
        <is>
          <t>butane-1,4-diol</t>
        </is>
      </c>
      <c r="D22">
        <f>[4]Process_results_C1_E2!B2*Shredder!$B$2</f>
        <v/>
      </c>
      <c r="F22">
        <f>M22</f>
        <v/>
      </c>
      <c r="I22">
        <f>[4]Process_results_C1_E2!F2</f>
        <v/>
      </c>
      <c r="J22">
        <f>[4]Process_results_C1_E2!G2</f>
        <v/>
      </c>
      <c r="K22">
        <f>[4]Process_results_C1_E2!D2</f>
        <v/>
      </c>
      <c r="M22">
        <f>[4]Process_results_C1_E2!C2+Shredder!$K$2</f>
        <v/>
      </c>
      <c r="N22" s="4">
        <f>[4]Process_results_C1_E2!H2+Shredder!$L$2</f>
        <v/>
      </c>
      <c r="O22" s="4">
        <f>[4]Process_results_C1_E2!I2+Shredder!$M$2</f>
        <v/>
      </c>
      <c r="P22" s="4">
        <f>[4]Process_results_C1_E2!J2+Shredder!$N$2</f>
        <v/>
      </c>
      <c r="Q22" s="4">
        <f>[4]Process_results_C1_E2!K2+Shredder!$O$2</f>
        <v/>
      </c>
      <c r="R22" s="4">
        <f>[4]Process_results_C1_E2!L2+Shredder!$P$2</f>
        <v/>
      </c>
    </row>
    <row r="23">
      <c r="A23" t="inlineStr">
        <is>
          <t>Wash 2</t>
        </is>
      </c>
      <c r="B23" t="inlineStr">
        <is>
          <t>EVOH</t>
        </is>
      </c>
      <c r="C23" t="inlineStr">
        <is>
          <t>Diethanolamine</t>
        </is>
      </c>
      <c r="D23">
        <f>[4]Process_results_C1_E2!B3*Shredder!$B$2</f>
        <v/>
      </c>
      <c r="F23">
        <f>M23</f>
        <v/>
      </c>
      <c r="I23">
        <f>[4]Process_results_C1_E2!F3</f>
        <v/>
      </c>
      <c r="J23">
        <f>[4]Process_results_C1_E2!G3</f>
        <v/>
      </c>
      <c r="K23">
        <f>[4]Process_results_C1_E2!D3</f>
        <v/>
      </c>
      <c r="M23">
        <f>[4]Process_results_C1_E2!C3+Shredder!$K$2</f>
        <v/>
      </c>
      <c r="N23" s="4">
        <f>[4]Process_results_C1_E2!H3+Shredder!$L$2</f>
        <v/>
      </c>
      <c r="O23" s="4">
        <f>[4]Process_results_C1_E2!I3+Shredder!$M$2</f>
        <v/>
      </c>
      <c r="P23" s="4">
        <f>[4]Process_results_C1_E2!J3+Shredder!$N$2</f>
        <v/>
      </c>
      <c r="Q23" s="4">
        <f>[4]Process_results_C1_E2!K3+Shredder!$O$2</f>
        <v/>
      </c>
      <c r="R23" s="4">
        <f>[4]Process_results_C1_E2!L3+Shredder!$P$2</f>
        <v/>
      </c>
    </row>
    <row r="24">
      <c r="A24" t="inlineStr">
        <is>
          <t>Wash 2</t>
        </is>
      </c>
      <c r="B24" t="inlineStr">
        <is>
          <t>EVOH</t>
        </is>
      </c>
      <c r="C24" t="inlineStr">
        <is>
          <t>Diethylene glycol</t>
        </is>
      </c>
      <c r="D24">
        <f>[4]Process_results_C1_E2!B4*Shredder!$B$2</f>
        <v/>
      </c>
      <c r="F24">
        <f>M24</f>
        <v/>
      </c>
      <c r="I24">
        <f>[4]Process_results_C1_E2!F4</f>
        <v/>
      </c>
      <c r="J24">
        <f>[4]Process_results_C1_E2!G4</f>
        <v/>
      </c>
      <c r="K24">
        <f>[4]Process_results_C1_E2!D4</f>
        <v/>
      </c>
      <c r="M24">
        <f>[4]Process_results_C1_E2!C4+Shredder!$K$2</f>
        <v/>
      </c>
      <c r="N24" s="4">
        <f>[4]Process_results_C1_E2!H4+Shredder!$L$2</f>
        <v/>
      </c>
      <c r="O24" s="4">
        <f>[4]Process_results_C1_E2!I4+Shredder!$M$2</f>
        <v/>
      </c>
      <c r="P24" s="4">
        <f>[4]Process_results_C1_E2!J4+Shredder!$N$2</f>
        <v/>
      </c>
      <c r="Q24" s="4">
        <f>[4]Process_results_C1_E2!K4+Shredder!$O$2</f>
        <v/>
      </c>
      <c r="R24" s="4">
        <f>[4]Process_results_C1_E2!L4+Shredder!$P$2</f>
        <v/>
      </c>
    </row>
    <row r="25">
      <c r="A25" t="inlineStr">
        <is>
          <t>Wash 2</t>
        </is>
      </c>
      <c r="B25" t="inlineStr">
        <is>
          <t>EVOH</t>
        </is>
      </c>
      <c r="C25" t="inlineStr">
        <is>
          <t>Ethylene Glycol</t>
        </is>
      </c>
      <c r="D25">
        <f>[4]Process_results_C1_E2!B5*Shredder!$B$2</f>
        <v/>
      </c>
      <c r="F25">
        <f>M25</f>
        <v/>
      </c>
      <c r="I25">
        <f>[4]Process_results_C1_E2!F5</f>
        <v/>
      </c>
      <c r="J25">
        <f>[4]Process_results_C1_E2!G5</f>
        <v/>
      </c>
      <c r="K25">
        <f>[4]Process_results_C1_E2!D5</f>
        <v/>
      </c>
      <c r="M25">
        <f>[4]Process_results_C1_E2!C5+Shredder!$K$2</f>
        <v/>
      </c>
      <c r="N25" s="4">
        <f>[4]Process_results_C1_E2!H5+Shredder!$L$2</f>
        <v/>
      </c>
      <c r="O25" s="4">
        <f>[4]Process_results_C1_E2!I5+Shredder!$M$2</f>
        <v/>
      </c>
      <c r="P25" s="4">
        <f>[4]Process_results_C1_E2!J5+Shredder!$N$2</f>
        <v/>
      </c>
      <c r="Q25" s="4">
        <f>[4]Process_results_C1_E2!K5+Shredder!$O$2</f>
        <v/>
      </c>
      <c r="R25" s="4">
        <f>[4]Process_results_C1_E2!L5+Shredder!$P$2</f>
        <v/>
      </c>
    </row>
    <row r="26">
      <c r="A26" t="inlineStr">
        <is>
          <t>Wash 2</t>
        </is>
      </c>
      <c r="B26" t="inlineStr">
        <is>
          <t>EVOH</t>
        </is>
      </c>
      <c r="C26" t="inlineStr">
        <is>
          <t>Propylene Glycol</t>
        </is>
      </c>
      <c r="D26">
        <f>[4]Process_results_C1_E2!B6*Shredder!$B$2</f>
        <v/>
      </c>
      <c r="F26">
        <f>M26</f>
        <v/>
      </c>
      <c r="I26">
        <f>[4]Process_results_C1_E2!F6</f>
        <v/>
      </c>
      <c r="J26">
        <f>[4]Process_results_C1_E2!G6</f>
        <v/>
      </c>
      <c r="K26">
        <f>[4]Process_results_C1_E2!D6</f>
        <v/>
      </c>
      <c r="M26">
        <f>[4]Process_results_C1_E2!C6+Shredder!$K$2</f>
        <v/>
      </c>
      <c r="N26" s="4">
        <f>[4]Process_results_C1_E2!H6+Shredder!$L$2</f>
        <v/>
      </c>
      <c r="O26" s="4">
        <f>[4]Process_results_C1_E2!I6+Shredder!$M$2</f>
        <v/>
      </c>
      <c r="P26" s="4">
        <f>[4]Process_results_C1_E2!J6+Shredder!$N$2</f>
        <v/>
      </c>
      <c r="Q26" s="4">
        <f>[4]Process_results_C1_E2!K6+Shredder!$O$2</f>
        <v/>
      </c>
      <c r="R26" s="4">
        <f>[4]Process_results_C1_E2!L6+Shredder!$P$2</f>
        <v/>
      </c>
    </row>
    <row r="27">
      <c r="A27" t="inlineStr">
        <is>
          <t>Wash 2</t>
        </is>
      </c>
      <c r="B27" t="inlineStr">
        <is>
          <t>EVOH</t>
        </is>
      </c>
      <c r="C27" t="inlineStr">
        <is>
          <t>Pyridazine</t>
        </is>
      </c>
      <c r="D27">
        <f>[4]Process_results_C1_E2!B7*Shredder!$B$2</f>
        <v/>
      </c>
      <c r="F27">
        <f>M27</f>
        <v/>
      </c>
      <c r="I27">
        <f>[4]Process_results_C1_E2!F7</f>
        <v/>
      </c>
      <c r="J27">
        <f>[4]Process_results_C1_E2!G7</f>
        <v/>
      </c>
      <c r="K27">
        <f>[4]Process_results_C1_E2!D7</f>
        <v/>
      </c>
      <c r="M27">
        <f>[4]Process_results_C1_E2!C7+Shredder!$K$2</f>
        <v/>
      </c>
      <c r="N27" s="4">
        <f>[4]Process_results_C1_E2!H7+Shredder!$L$2</f>
        <v/>
      </c>
      <c r="O27" s="4">
        <f>[4]Process_results_C1_E2!I7+Shredder!$M$2</f>
        <v/>
      </c>
      <c r="P27" s="4">
        <f>[4]Process_results_C1_E2!J7+Shredder!$N$2</f>
        <v/>
      </c>
      <c r="Q27" s="4">
        <f>[4]Process_results_C1_E2!K7+Shredder!$O$2</f>
        <v/>
      </c>
      <c r="R27" s="4">
        <f>[4]Process_results_C1_E2!L7+Shredder!$P$2</f>
        <v/>
      </c>
    </row>
    <row r="28">
      <c r="A28" t="inlineStr">
        <is>
          <t>Wash 2</t>
        </is>
      </c>
      <c r="B28" t="inlineStr">
        <is>
          <t>EVOH</t>
        </is>
      </c>
      <c r="C28" t="inlineStr">
        <is>
          <t>gamma-butyrolactone</t>
        </is>
      </c>
      <c r="D28">
        <f>[4]Process_results_C1_E2!B8*Shredder!$B$2</f>
        <v/>
      </c>
      <c r="F28">
        <f>M28</f>
        <v/>
      </c>
      <c r="I28">
        <f>[4]Process_results_C1_E2!F8</f>
        <v/>
      </c>
      <c r="J28">
        <f>[4]Process_results_C1_E2!G8</f>
        <v/>
      </c>
      <c r="K28">
        <f>[4]Process_results_C1_E2!D8</f>
        <v/>
      </c>
      <c r="M28">
        <f>[4]Process_results_C1_E2!C8+Shredder!$K$2</f>
        <v/>
      </c>
      <c r="N28" s="4">
        <f>[4]Process_results_C1_E2!H8+Shredder!$L$2</f>
        <v/>
      </c>
      <c r="O28" s="4">
        <f>[4]Process_results_C1_E2!I8+Shredder!$M$2</f>
        <v/>
      </c>
      <c r="P28" s="4">
        <f>[4]Process_results_C1_E2!J8+Shredder!$N$2</f>
        <v/>
      </c>
      <c r="Q28" s="4">
        <f>[4]Process_results_C1_E2!K8+Shredder!$O$2</f>
        <v/>
      </c>
      <c r="R28" s="4">
        <f>[4]Process_results_C1_E2!L8+Shredder!$P$2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tabSelected="1" workbookViewId="0">
      <selection activeCell="Q11" sqref="Q11"/>
    </sheetView>
  </sheetViews>
  <sheetFormatPr baseColWidth="10" defaultRowHeight="16"/>
  <sheetData>
    <row r="1" ht="187" customFormat="1" customHeight="1" s="12">
      <c r="A1" s="10" t="inlineStr">
        <is>
          <t>Wash number</t>
        </is>
      </c>
      <c r="B1" s="10" t="inlineStr">
        <is>
          <t>Polymer</t>
        </is>
      </c>
      <c r="C1" s="10" t="inlineStr">
        <is>
          <t>Solvents</t>
        </is>
      </c>
      <c r="D1" s="10" t="inlineStr">
        <is>
          <t>Total Energy Consumed [MJ/yr]</t>
        </is>
      </c>
      <c r="E1" s="10" t="inlineStr">
        <is>
          <t>Total Renewable Energy Consumed [MJ/yr]</t>
        </is>
      </c>
      <c r="F1" s="10" t="inlineStr">
        <is>
          <t>Total Direct GHG emissions [Scope 1] [metric tons CO2 equivalent [tCO2e/yr]]</t>
        </is>
      </c>
      <c r="G1" s="10" t="inlineStr">
        <is>
          <t>Total Energy indirect GHG emissions (Scope 2) [metric tons CO2 equivalent (t CO2e/yr)]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Disposal[ton/yr]</t>
        </is>
      </c>
      <c r="L1" s="10" t="inlineStr">
        <is>
          <t>GWP [tonCO2e/yr]</t>
        </is>
      </c>
      <c r="M1" s="10" t="inlineStr">
        <is>
          <t>Human toxicity cancer [CTUh/yr]</t>
        </is>
      </c>
      <c r="N1" s="10" t="inlineStr">
        <is>
          <t>Human toxicity non-cancer [CTUh/yr]</t>
        </is>
      </c>
      <c r="O1" s="10" t="inlineStr">
        <is>
          <t>Ecotoxicity [CTUe/yr]</t>
        </is>
      </c>
      <c r="P1" s="10" t="inlineStr">
        <is>
          <t>CAPEX [USD/yr]</t>
        </is>
      </c>
      <c r="Q1" s="10" t="inlineStr">
        <is>
          <t>OPEX [USD/yr]</t>
        </is>
      </c>
    </row>
    <row r="2">
      <c r="A2">
        <f>StrapScenario1!A2</f>
        <v/>
      </c>
      <c r="B2">
        <f>StrapScenario1!B2</f>
        <v/>
      </c>
      <c r="C2">
        <f>StrapScenario1!C2</f>
        <v/>
      </c>
      <c r="D2">
        <f>StrapScenario1!D2*'[1]New UBs'!$E$50</f>
        <v/>
      </c>
      <c r="E2">
        <f>StrapScenario1!E2</f>
        <v/>
      </c>
      <c r="F2">
        <f>L2</f>
        <v/>
      </c>
      <c r="G2">
        <f>StrapScenario1!G2</f>
        <v/>
      </c>
      <c r="H2">
        <f>StrapScenario1!H2</f>
        <v/>
      </c>
      <c r="I2">
        <f>StrapScenario1!I2</f>
        <v/>
      </c>
      <c r="J2" s="24">
        <f>StrapScenario1!J2</f>
        <v/>
      </c>
      <c r="K2">
        <f>StrapScenario1!K2</f>
        <v/>
      </c>
      <c r="L2">
        <f>StrapScenario1!L2*'[1]New UBs'!$E$50/1000</f>
        <v/>
      </c>
      <c r="M2" s="4">
        <f>StrapScenario1!M2*'[1]New UBs'!$E$50</f>
        <v/>
      </c>
      <c r="N2" s="4">
        <f>StrapScenario1!N2*'[1]New UBs'!$E$50</f>
        <v/>
      </c>
      <c r="O2" s="4">
        <f>StrapScenario1!O2*'[1]New UBs'!$E$50</f>
        <v/>
      </c>
      <c r="P2" s="4">
        <f>StrapScenario1!P2/20</f>
        <v/>
      </c>
      <c r="Q2" s="4">
        <f>StrapScenario1!Q2</f>
        <v/>
      </c>
    </row>
    <row r="3">
      <c r="A3">
        <f>StrapScenario1!A3</f>
        <v/>
      </c>
      <c r="B3">
        <f>StrapScenario1!B3</f>
        <v/>
      </c>
      <c r="C3">
        <f>StrapScenario1!C3</f>
        <v/>
      </c>
      <c r="D3">
        <f>StrapScenario1!D3*'[1]New UBs'!$E$50</f>
        <v/>
      </c>
      <c r="E3">
        <f>StrapScenario1!E3</f>
        <v/>
      </c>
      <c r="F3">
        <f>L3</f>
        <v/>
      </c>
      <c r="G3">
        <f>StrapScenario1!G3</f>
        <v/>
      </c>
      <c r="H3">
        <f>StrapScenario1!H3</f>
        <v/>
      </c>
      <c r="I3">
        <f>StrapScenario1!I3</f>
        <v/>
      </c>
      <c r="J3" s="24">
        <f>StrapScenario1!J3</f>
        <v/>
      </c>
      <c r="K3">
        <f>StrapScenario1!K3</f>
        <v/>
      </c>
      <c r="L3">
        <f>StrapScenario1!L3*'[1]New UBs'!$E$50/1000</f>
        <v/>
      </c>
      <c r="M3" s="4">
        <f>StrapScenario1!M3*'[1]New UBs'!$E$50</f>
        <v/>
      </c>
      <c r="N3" s="4">
        <f>StrapScenario1!N3*'[1]New UBs'!$E$50</f>
        <v/>
      </c>
      <c r="O3" s="4">
        <f>StrapScenario1!O3*'[1]New UBs'!$E$50</f>
        <v/>
      </c>
      <c r="P3" s="4">
        <f>StrapScenario1!P3/20</f>
        <v/>
      </c>
      <c r="Q3" s="4">
        <f>StrapScenario1!Q3</f>
        <v/>
      </c>
    </row>
    <row r="4">
      <c r="A4">
        <f>StrapScenario1!A4</f>
        <v/>
      </c>
      <c r="B4">
        <f>StrapScenario1!B4</f>
        <v/>
      </c>
      <c r="C4">
        <f>StrapScenario1!C4</f>
        <v/>
      </c>
      <c r="D4">
        <f>StrapScenario1!D4*'[1]New UBs'!$E$50</f>
        <v/>
      </c>
      <c r="E4">
        <f>StrapScenario1!E4</f>
        <v/>
      </c>
      <c r="F4">
        <f>L4</f>
        <v/>
      </c>
      <c r="G4">
        <f>StrapScenario1!G4</f>
        <v/>
      </c>
      <c r="H4">
        <f>StrapScenario1!H4</f>
        <v/>
      </c>
      <c r="I4">
        <f>StrapScenario1!I4</f>
        <v/>
      </c>
      <c r="J4" s="24">
        <f>StrapScenario1!J4</f>
        <v/>
      </c>
      <c r="K4">
        <f>StrapScenario1!K4</f>
        <v/>
      </c>
      <c r="L4">
        <f>StrapScenario1!L4*'[1]New UBs'!$E$50/1000</f>
        <v/>
      </c>
      <c r="M4" s="4">
        <f>StrapScenario1!M4*'[1]New UBs'!$E$50</f>
        <v/>
      </c>
      <c r="N4" s="4">
        <f>StrapScenario1!N4*'[1]New UBs'!$E$50</f>
        <v/>
      </c>
      <c r="O4" s="4">
        <f>StrapScenario1!O4*'[1]New UBs'!$E$50</f>
        <v/>
      </c>
      <c r="P4" s="4">
        <f>StrapScenario1!P4/20</f>
        <v/>
      </c>
      <c r="Q4" s="4">
        <f>StrapScenario1!Q4</f>
        <v/>
      </c>
    </row>
    <row r="5">
      <c r="A5">
        <f>StrapScenario1!A5</f>
        <v/>
      </c>
      <c r="B5">
        <f>StrapScenario1!B5</f>
        <v/>
      </c>
      <c r="C5">
        <f>StrapScenario1!C5</f>
        <v/>
      </c>
      <c r="D5">
        <f>StrapScenario1!D5*'[1]New UBs'!$E$50</f>
        <v/>
      </c>
      <c r="E5">
        <f>StrapScenario1!E5</f>
        <v/>
      </c>
      <c r="F5">
        <f>L5</f>
        <v/>
      </c>
      <c r="G5">
        <f>StrapScenario1!G5</f>
        <v/>
      </c>
      <c r="H5">
        <f>StrapScenario1!H5</f>
        <v/>
      </c>
      <c r="I5">
        <f>StrapScenario1!I5</f>
        <v/>
      </c>
      <c r="J5" s="24">
        <f>StrapScenario1!J5</f>
        <v/>
      </c>
      <c r="K5">
        <f>StrapScenario1!K5</f>
        <v/>
      </c>
      <c r="L5">
        <f>StrapScenario1!L5*'[1]New UBs'!$E$50/1000</f>
        <v/>
      </c>
      <c r="M5" s="4">
        <f>StrapScenario1!M5*'[1]New UBs'!$E$50</f>
        <v/>
      </c>
      <c r="N5" s="4">
        <f>StrapScenario1!N5*'[1]New UBs'!$E$50</f>
        <v/>
      </c>
      <c r="O5" s="4">
        <f>StrapScenario1!O5*'[1]New UBs'!$E$50</f>
        <v/>
      </c>
      <c r="P5" s="4">
        <f>StrapScenario1!P5/20</f>
        <v/>
      </c>
      <c r="Q5" s="4">
        <f>StrapScenario1!Q5</f>
        <v/>
      </c>
    </row>
    <row r="6">
      <c r="A6">
        <f>StrapScenario1!A6</f>
        <v/>
      </c>
      <c r="B6">
        <f>StrapScenario1!B6</f>
        <v/>
      </c>
      <c r="C6">
        <f>StrapScenario1!C6</f>
        <v/>
      </c>
      <c r="D6">
        <f>StrapScenario1!D6*'[1]New UBs'!$E$50</f>
        <v/>
      </c>
      <c r="E6">
        <f>StrapScenario1!E6</f>
        <v/>
      </c>
      <c r="F6">
        <f>L6</f>
        <v/>
      </c>
      <c r="G6">
        <f>StrapScenario1!G6</f>
        <v/>
      </c>
      <c r="H6">
        <f>StrapScenario1!H6</f>
        <v/>
      </c>
      <c r="I6">
        <f>StrapScenario1!I6</f>
        <v/>
      </c>
      <c r="J6" s="24">
        <f>StrapScenario1!J6</f>
        <v/>
      </c>
      <c r="K6">
        <f>StrapScenario1!K6</f>
        <v/>
      </c>
      <c r="L6">
        <f>StrapScenario1!L6*'[1]New UBs'!$E$50/1000</f>
        <v/>
      </c>
      <c r="M6" s="4">
        <f>StrapScenario1!M6*'[1]New UBs'!$E$50</f>
        <v/>
      </c>
      <c r="N6" s="4">
        <f>StrapScenario1!N6*'[1]New UBs'!$E$50</f>
        <v/>
      </c>
      <c r="O6" s="4">
        <f>StrapScenario1!O6*'[1]New UBs'!$E$50</f>
        <v/>
      </c>
      <c r="P6" s="4">
        <f>StrapScenario1!P6/20</f>
        <v/>
      </c>
      <c r="Q6" s="4">
        <f>StrapScenario1!Q6</f>
        <v/>
      </c>
    </row>
    <row r="7">
      <c r="A7">
        <f>StrapScenario1!A7</f>
        <v/>
      </c>
      <c r="B7">
        <f>StrapScenario1!B7</f>
        <v/>
      </c>
      <c r="C7">
        <f>StrapScenario1!C7</f>
        <v/>
      </c>
      <c r="D7">
        <f>StrapScenario1!D7*'[1]New UBs'!$E$50</f>
        <v/>
      </c>
      <c r="E7">
        <f>StrapScenario1!E7</f>
        <v/>
      </c>
      <c r="F7">
        <f>L7</f>
        <v/>
      </c>
      <c r="G7">
        <f>StrapScenario1!G7</f>
        <v/>
      </c>
      <c r="H7">
        <f>StrapScenario1!H7</f>
        <v/>
      </c>
      <c r="I7">
        <f>StrapScenario1!I7</f>
        <v/>
      </c>
      <c r="J7" s="24">
        <f>StrapScenario1!J7</f>
        <v/>
      </c>
      <c r="K7">
        <f>StrapScenario1!K7</f>
        <v/>
      </c>
      <c r="L7">
        <f>StrapScenario1!L7*'[1]New UBs'!$E$50/1000</f>
        <v/>
      </c>
      <c r="M7" s="4">
        <f>StrapScenario1!M7*'[1]New UBs'!$E$50</f>
        <v/>
      </c>
      <c r="N7" s="4">
        <f>StrapScenario1!N7*'[1]New UBs'!$E$50</f>
        <v/>
      </c>
      <c r="O7" s="4">
        <f>StrapScenario1!O7*'[1]New UBs'!$E$50</f>
        <v/>
      </c>
      <c r="P7" s="4">
        <f>StrapScenario1!P7/20</f>
        <v/>
      </c>
      <c r="Q7" s="4">
        <f>StrapScenario1!Q7</f>
        <v/>
      </c>
    </row>
    <row r="8">
      <c r="A8">
        <f>StrapScenario1!A8</f>
        <v/>
      </c>
      <c r="B8">
        <f>StrapScenario1!B8</f>
        <v/>
      </c>
      <c r="C8">
        <f>StrapScenario1!C8</f>
        <v/>
      </c>
      <c r="D8">
        <f>StrapScenario1!D8*'[1]New UBs'!$E$50</f>
        <v/>
      </c>
      <c r="E8">
        <f>StrapScenario1!E8</f>
        <v/>
      </c>
      <c r="F8">
        <f>L8</f>
        <v/>
      </c>
      <c r="G8">
        <f>StrapScenario1!G8</f>
        <v/>
      </c>
      <c r="H8">
        <f>StrapScenario1!H8</f>
        <v/>
      </c>
      <c r="I8">
        <f>StrapScenario1!I8</f>
        <v/>
      </c>
      <c r="J8" s="24">
        <f>StrapScenario1!J8</f>
        <v/>
      </c>
      <c r="K8">
        <f>StrapScenario1!K8</f>
        <v/>
      </c>
      <c r="L8">
        <f>StrapScenario1!L8*'[1]New UBs'!$E$50/1000</f>
        <v/>
      </c>
      <c r="M8" s="4">
        <f>StrapScenario1!M8*'[1]New UBs'!$E$50</f>
        <v/>
      </c>
      <c r="N8" s="4">
        <f>StrapScenario1!N8*'[1]New UBs'!$E$50</f>
        <v/>
      </c>
      <c r="O8" s="4">
        <f>StrapScenario1!O8*'[1]New UBs'!$E$50</f>
        <v/>
      </c>
      <c r="P8" s="4">
        <f>StrapScenario1!P8/20</f>
        <v/>
      </c>
      <c r="Q8" s="4">
        <f>StrapScenario1!Q8</f>
        <v/>
      </c>
      <c r="S8" s="4" t="n"/>
      <c r="T8" s="4" t="n"/>
      <c r="U8" s="4" t="n"/>
      <c r="V8" s="4" t="n"/>
      <c r="W8" s="4" t="n"/>
      <c r="X8" s="4" t="n"/>
      <c r="Y8" s="4" t="n"/>
    </row>
    <row r="9">
      <c r="A9">
        <f>StrapScenario1!A9</f>
        <v/>
      </c>
      <c r="B9">
        <f>StrapScenario1!B9</f>
        <v/>
      </c>
      <c r="C9">
        <f>StrapScenario1!C9</f>
        <v/>
      </c>
      <c r="D9">
        <f>StrapScenario1!D9*'[1]New UBs'!$E$50</f>
        <v/>
      </c>
      <c r="E9">
        <f>StrapScenario1!E9</f>
        <v/>
      </c>
      <c r="F9">
        <f>L9</f>
        <v/>
      </c>
      <c r="G9">
        <f>StrapScenario1!G9</f>
        <v/>
      </c>
      <c r="H9">
        <f>StrapScenario1!H9</f>
        <v/>
      </c>
      <c r="I9">
        <f>StrapScenario1!I9</f>
        <v/>
      </c>
      <c r="J9" s="24">
        <f>StrapScenario1!J9</f>
        <v/>
      </c>
      <c r="K9">
        <f>StrapScenario1!K9</f>
        <v/>
      </c>
      <c r="L9">
        <f>StrapScenario1!L9*'[1]New UBs'!$E$50/1000</f>
        <v/>
      </c>
      <c r="M9" s="4">
        <f>StrapScenario1!M9*'[1]New UBs'!$E$50</f>
        <v/>
      </c>
      <c r="N9" s="4">
        <f>StrapScenario1!N9*'[1]New UBs'!$E$50</f>
        <v/>
      </c>
      <c r="O9" s="4">
        <f>StrapScenario1!O9*'[1]New UBs'!$E$50</f>
        <v/>
      </c>
      <c r="P9" s="4">
        <f>StrapScenario1!P9/20</f>
        <v/>
      </c>
      <c r="Q9" s="4">
        <f>StrapScenario1!Q9</f>
        <v/>
      </c>
    </row>
    <row r="10">
      <c r="A10">
        <f>StrapScenario1!A10</f>
        <v/>
      </c>
      <c r="B10">
        <f>StrapScenario1!B10</f>
        <v/>
      </c>
      <c r="C10">
        <f>StrapScenario1!C10</f>
        <v/>
      </c>
      <c r="D10">
        <f>StrapScenario1!D10*'[1]New UBs'!$E$50</f>
        <v/>
      </c>
      <c r="E10">
        <f>StrapScenario1!E10</f>
        <v/>
      </c>
      <c r="F10">
        <f>L10</f>
        <v/>
      </c>
      <c r="G10">
        <f>StrapScenario1!G10</f>
        <v/>
      </c>
      <c r="H10">
        <f>StrapScenario1!H10</f>
        <v/>
      </c>
      <c r="I10">
        <f>StrapScenario1!I10</f>
        <v/>
      </c>
      <c r="J10" s="24">
        <f>StrapScenario1!J10</f>
        <v/>
      </c>
      <c r="K10">
        <f>StrapScenario1!K10</f>
        <v/>
      </c>
      <c r="L10">
        <f>StrapScenario1!L10*'[1]New UBs'!$E$50/1000</f>
        <v/>
      </c>
      <c r="M10" s="4">
        <f>StrapScenario1!M10*'[1]New UBs'!$E$50</f>
        <v/>
      </c>
      <c r="N10" s="4">
        <f>StrapScenario1!N10*'[1]New UBs'!$E$50</f>
        <v/>
      </c>
      <c r="O10" s="4">
        <f>StrapScenario1!O10*'[1]New UBs'!$E$50</f>
        <v/>
      </c>
      <c r="P10" s="4">
        <f>StrapScenario1!P10/20</f>
        <v/>
      </c>
      <c r="Q10" s="4">
        <f>StrapScenario1!Q10</f>
        <v/>
      </c>
    </row>
    <row r="11">
      <c r="A11">
        <f>StrapScenario1!A11</f>
        <v/>
      </c>
      <c r="B11">
        <f>StrapScenario1!B11</f>
        <v/>
      </c>
      <c r="C11">
        <f>StrapScenario1!C11</f>
        <v/>
      </c>
      <c r="D11">
        <f>StrapScenario1!D11*'[1]New UBs'!$E$51</f>
        <v/>
      </c>
      <c r="E11">
        <f>StrapScenario1!E11</f>
        <v/>
      </c>
      <c r="F11">
        <f>L11</f>
        <v/>
      </c>
      <c r="G11">
        <f>StrapScenario1!G11</f>
        <v/>
      </c>
      <c r="H11">
        <f>StrapScenario1!H11</f>
        <v/>
      </c>
      <c r="I11">
        <f>StrapScenario1!I11</f>
        <v/>
      </c>
      <c r="J11" s="24">
        <f>StrapScenario1!J11</f>
        <v/>
      </c>
      <c r="K11">
        <f>StrapScenario1!K11</f>
        <v/>
      </c>
      <c r="L11" s="51">
        <f>StrapScenario1!L11*'[1]New UBs'!$E$51/1000</f>
        <v/>
      </c>
      <c r="M11" s="4">
        <f>StrapScenario1!M11*'[1]New UBs'!$E$51</f>
        <v/>
      </c>
      <c r="N11" s="4">
        <f>StrapScenario1!N11*'[1]New UBs'!$E$51</f>
        <v/>
      </c>
      <c r="O11" s="4">
        <f>StrapScenario1!O11*'[1]New UBs'!$E$51</f>
        <v/>
      </c>
      <c r="P11" s="4">
        <f>StrapScenario1!P11/20</f>
        <v/>
      </c>
      <c r="Q11" s="4">
        <f>StrapScenario1!Q11</f>
        <v/>
      </c>
    </row>
    <row r="12">
      <c r="A12">
        <f>StrapScenario1!A12</f>
        <v/>
      </c>
      <c r="B12">
        <f>StrapScenario1!B12</f>
        <v/>
      </c>
      <c r="C12">
        <f>StrapScenario1!C12</f>
        <v/>
      </c>
      <c r="D12">
        <f>StrapScenario1!D12*'[1]New UBs'!$E$51</f>
        <v/>
      </c>
      <c r="E12">
        <f>StrapScenario1!E12</f>
        <v/>
      </c>
      <c r="F12">
        <f>L12</f>
        <v/>
      </c>
      <c r="G12">
        <f>StrapScenario1!G12</f>
        <v/>
      </c>
      <c r="H12">
        <f>StrapScenario1!H12</f>
        <v/>
      </c>
      <c r="I12">
        <f>StrapScenario1!I12</f>
        <v/>
      </c>
      <c r="J12" s="24">
        <f>StrapScenario1!J12</f>
        <v/>
      </c>
      <c r="K12">
        <f>StrapScenario1!K12</f>
        <v/>
      </c>
      <c r="L12">
        <f>StrapScenario1!L12*'[1]New UBs'!$E$51/1000</f>
        <v/>
      </c>
      <c r="M12" s="4">
        <f>StrapScenario1!M12*'[1]New UBs'!$E$51</f>
        <v/>
      </c>
      <c r="N12" s="4">
        <f>StrapScenario1!N12*'[1]New UBs'!$E$51</f>
        <v/>
      </c>
      <c r="O12" s="4">
        <f>StrapScenario1!O12*'[1]New UBs'!$E$51</f>
        <v/>
      </c>
      <c r="P12" s="4">
        <f>StrapScenario1!P12/20</f>
        <v/>
      </c>
      <c r="Q12" s="4">
        <f>StrapScenario1!Q12</f>
        <v/>
      </c>
    </row>
    <row r="13">
      <c r="A13">
        <f>StrapScenario1!A13</f>
        <v/>
      </c>
      <c r="B13">
        <f>StrapScenario1!B13</f>
        <v/>
      </c>
      <c r="C13">
        <f>StrapScenario1!C13</f>
        <v/>
      </c>
      <c r="D13">
        <f>StrapScenario1!D13*'[1]New UBs'!$J$51</f>
        <v/>
      </c>
      <c r="E13">
        <f>StrapScenario1!E13</f>
        <v/>
      </c>
      <c r="F13">
        <f>L13</f>
        <v/>
      </c>
      <c r="G13">
        <f>StrapScenario1!G13</f>
        <v/>
      </c>
      <c r="H13">
        <f>StrapScenario1!H13</f>
        <v/>
      </c>
      <c r="I13">
        <f>StrapScenario1!I13</f>
        <v/>
      </c>
      <c r="J13" s="24">
        <f>StrapScenario1!J13</f>
        <v/>
      </c>
      <c r="K13">
        <f>StrapScenario1!K13</f>
        <v/>
      </c>
      <c r="L13">
        <f>StrapScenario1!L13*'[1]New UBs'!$J$51/1000</f>
        <v/>
      </c>
      <c r="M13" s="4">
        <f>StrapScenario1!M13*'[1]New UBs'!$J$50</f>
        <v/>
      </c>
      <c r="N13" s="4">
        <f>StrapScenario1!N13*'[1]New UBs'!$J$51</f>
        <v/>
      </c>
      <c r="O13" s="4">
        <f>StrapScenario1!O13*'[1]New UBs'!$J$51</f>
        <v/>
      </c>
      <c r="P13" s="4">
        <f>StrapScenario1!P13/20</f>
        <v/>
      </c>
      <c r="Q13" s="4">
        <f>StrapScenario1!Q13</f>
        <v/>
      </c>
    </row>
    <row r="14">
      <c r="A14">
        <f>StrapScenario1!A14</f>
        <v/>
      </c>
      <c r="B14">
        <f>StrapScenario1!B14</f>
        <v/>
      </c>
      <c r="C14">
        <f>StrapScenario1!C14</f>
        <v/>
      </c>
      <c r="D14">
        <f>StrapScenario1!D14*'[1]New UBs'!$J$51</f>
        <v/>
      </c>
      <c r="E14">
        <f>StrapScenario1!E14</f>
        <v/>
      </c>
      <c r="F14">
        <f>L14</f>
        <v/>
      </c>
      <c r="G14">
        <f>StrapScenario1!G14</f>
        <v/>
      </c>
      <c r="H14">
        <f>StrapScenario1!H14</f>
        <v/>
      </c>
      <c r="I14">
        <f>StrapScenario1!I14</f>
        <v/>
      </c>
      <c r="J14" s="24">
        <f>StrapScenario1!J14</f>
        <v/>
      </c>
      <c r="K14">
        <f>StrapScenario1!K14</f>
        <v/>
      </c>
      <c r="L14">
        <f>StrapScenario1!L14*'[1]New UBs'!$J$51/1000</f>
        <v/>
      </c>
      <c r="M14" s="4">
        <f>StrapScenario1!M14*'[1]New UBs'!$J$50</f>
        <v/>
      </c>
      <c r="N14" s="4">
        <f>StrapScenario1!N14*'[1]New UBs'!$J$51</f>
        <v/>
      </c>
      <c r="O14" s="4">
        <f>StrapScenario1!O14*'[1]New UBs'!$J$51</f>
        <v/>
      </c>
      <c r="P14" s="4">
        <f>StrapScenario1!P14/20</f>
        <v/>
      </c>
      <c r="Q14" s="4">
        <f>StrapScenario1!Q14</f>
        <v/>
      </c>
    </row>
    <row r="15">
      <c r="A15">
        <f>StrapScenario1!A15</f>
        <v/>
      </c>
      <c r="B15">
        <f>StrapScenario1!B15</f>
        <v/>
      </c>
      <c r="C15">
        <f>StrapScenario1!C15</f>
        <v/>
      </c>
      <c r="D15">
        <f>StrapScenario1!D15*'[1]New UBs'!$J$51</f>
        <v/>
      </c>
      <c r="E15">
        <f>StrapScenario1!E15</f>
        <v/>
      </c>
      <c r="F15">
        <f>L15</f>
        <v/>
      </c>
      <c r="G15">
        <f>StrapScenario1!G15</f>
        <v/>
      </c>
      <c r="H15">
        <f>StrapScenario1!H15</f>
        <v/>
      </c>
      <c r="I15">
        <f>StrapScenario1!I15</f>
        <v/>
      </c>
      <c r="J15" s="24">
        <f>StrapScenario1!J15</f>
        <v/>
      </c>
      <c r="K15">
        <f>StrapScenario1!K15</f>
        <v/>
      </c>
      <c r="L15" s="51">
        <f>StrapScenario1!L15*'[1]New UBs'!$J$51/1000</f>
        <v/>
      </c>
      <c r="M15" s="4">
        <f>StrapScenario1!M15*'[1]New UBs'!$J$50</f>
        <v/>
      </c>
      <c r="N15" s="4">
        <f>StrapScenario1!N15*'[1]New UBs'!$J$51</f>
        <v/>
      </c>
      <c r="O15" s="4">
        <f>StrapScenario1!O15*'[1]New UBs'!$J$51</f>
        <v/>
      </c>
      <c r="P15" s="4">
        <f>StrapScenario1!P15/20</f>
        <v/>
      </c>
      <c r="Q15" s="4">
        <f>StrapScenario1!Q15</f>
        <v/>
      </c>
    </row>
    <row r="16">
      <c r="A16">
        <f>StrapScenario1!A16</f>
        <v/>
      </c>
      <c r="B16">
        <f>StrapScenario1!B16</f>
        <v/>
      </c>
      <c r="C16">
        <f>StrapScenario1!C16</f>
        <v/>
      </c>
      <c r="D16">
        <f>StrapScenario1!D16*'[1]New UBs'!$J$51</f>
        <v/>
      </c>
      <c r="E16">
        <f>StrapScenario1!E16</f>
        <v/>
      </c>
      <c r="F16">
        <f>L16</f>
        <v/>
      </c>
      <c r="G16">
        <f>StrapScenario1!G16</f>
        <v/>
      </c>
      <c r="H16">
        <f>StrapScenario1!H16</f>
        <v/>
      </c>
      <c r="I16">
        <f>StrapScenario1!I16</f>
        <v/>
      </c>
      <c r="J16" s="24">
        <f>StrapScenario1!J16</f>
        <v/>
      </c>
      <c r="K16">
        <f>StrapScenario1!K16</f>
        <v/>
      </c>
      <c r="L16">
        <f>StrapScenario1!L16*'[1]New UBs'!$J$51/1000</f>
        <v/>
      </c>
      <c r="M16" s="4">
        <f>StrapScenario1!M16*'[1]New UBs'!$J$50</f>
        <v/>
      </c>
      <c r="N16" s="4">
        <f>StrapScenario1!N16*'[1]New UBs'!$J$51</f>
        <v/>
      </c>
      <c r="O16" s="4">
        <f>StrapScenario1!O16*'[1]New UBs'!$J$51</f>
        <v/>
      </c>
      <c r="P16" s="4">
        <f>StrapScenario1!P16/20</f>
        <v/>
      </c>
      <c r="Q16" s="4">
        <f>StrapScenario1!Q16</f>
        <v/>
      </c>
      <c r="S16" s="4" t="n"/>
    </row>
    <row r="17">
      <c r="A17">
        <f>StrapScenario1!A17</f>
        <v/>
      </c>
      <c r="B17">
        <f>StrapScenario1!B17</f>
        <v/>
      </c>
      <c r="C17">
        <f>StrapScenario1!C17</f>
        <v/>
      </c>
      <c r="D17">
        <f>StrapScenario1!D17*'[1]New UBs'!$J$51</f>
        <v/>
      </c>
      <c r="E17">
        <f>StrapScenario1!E17</f>
        <v/>
      </c>
      <c r="F17">
        <f>L17</f>
        <v/>
      </c>
      <c r="G17">
        <f>StrapScenario1!G17</f>
        <v/>
      </c>
      <c r="H17">
        <f>StrapScenario1!H17</f>
        <v/>
      </c>
      <c r="I17">
        <f>StrapScenario1!I17</f>
        <v/>
      </c>
      <c r="J17" s="24">
        <f>StrapScenario1!J17</f>
        <v/>
      </c>
      <c r="K17">
        <f>StrapScenario1!K17</f>
        <v/>
      </c>
      <c r="L17">
        <f>StrapScenario1!L17*'[1]New UBs'!$J$51/1000</f>
        <v/>
      </c>
      <c r="M17" s="4">
        <f>StrapScenario1!M17*'[1]New UBs'!$J$50</f>
        <v/>
      </c>
      <c r="N17" s="4">
        <f>StrapScenario1!N17*'[1]New UBs'!$J$51</f>
        <v/>
      </c>
      <c r="O17" s="4">
        <f>StrapScenario1!O17*'[1]New UBs'!$J$51</f>
        <v/>
      </c>
      <c r="P17" s="4">
        <f>StrapScenario1!P17/20</f>
        <v/>
      </c>
      <c r="Q17" s="4">
        <f>StrapScenario1!Q17</f>
        <v/>
      </c>
      <c r="S17" s="4" t="n"/>
    </row>
    <row r="18">
      <c r="A18">
        <f>StrapScenario1!A18</f>
        <v/>
      </c>
      <c r="B18">
        <f>StrapScenario1!B18</f>
        <v/>
      </c>
      <c r="C18">
        <f>StrapScenario1!C18</f>
        <v/>
      </c>
      <c r="D18">
        <f>StrapScenario1!D18*'[1]New UBs'!$J$51</f>
        <v/>
      </c>
      <c r="E18">
        <f>StrapScenario1!E18</f>
        <v/>
      </c>
      <c r="F18">
        <f>L18</f>
        <v/>
      </c>
      <c r="G18">
        <f>StrapScenario1!G18</f>
        <v/>
      </c>
      <c r="H18">
        <f>StrapScenario1!H18</f>
        <v/>
      </c>
      <c r="I18">
        <f>StrapScenario1!I18</f>
        <v/>
      </c>
      <c r="J18" s="24">
        <f>StrapScenario1!J18</f>
        <v/>
      </c>
      <c r="K18">
        <f>StrapScenario1!K18</f>
        <v/>
      </c>
      <c r="L18">
        <f>StrapScenario1!L18*'[1]New UBs'!$J$51/1000</f>
        <v/>
      </c>
      <c r="M18" s="4">
        <f>StrapScenario1!M18*'[1]New UBs'!$J$50</f>
        <v/>
      </c>
      <c r="N18" s="4">
        <f>StrapScenario1!N18*'[1]New UBs'!$J$51</f>
        <v/>
      </c>
      <c r="O18" s="4">
        <f>StrapScenario1!O18*'[1]New UBs'!$J$51</f>
        <v/>
      </c>
      <c r="P18" s="4">
        <f>StrapScenario1!P18/20</f>
        <v/>
      </c>
      <c r="Q18" s="4">
        <f>StrapScenario1!Q18</f>
        <v/>
      </c>
      <c r="S18" s="4" t="n"/>
    </row>
    <row r="19">
      <c r="A19">
        <f>StrapScenario1!A19</f>
        <v/>
      </c>
      <c r="B19">
        <f>StrapScenario1!B19</f>
        <v/>
      </c>
      <c r="C19">
        <f>StrapScenario1!C19</f>
        <v/>
      </c>
      <c r="D19">
        <f>StrapScenario1!D19*'[1]New UBs'!$J$51</f>
        <v/>
      </c>
      <c r="E19">
        <f>StrapScenario1!E19</f>
        <v/>
      </c>
      <c r="F19">
        <f>L19</f>
        <v/>
      </c>
      <c r="G19">
        <f>StrapScenario1!G19</f>
        <v/>
      </c>
      <c r="H19">
        <f>StrapScenario1!H19</f>
        <v/>
      </c>
      <c r="I19">
        <f>StrapScenario1!I19</f>
        <v/>
      </c>
      <c r="J19" s="24">
        <f>StrapScenario1!J19</f>
        <v/>
      </c>
      <c r="K19">
        <f>StrapScenario1!K19</f>
        <v/>
      </c>
      <c r="L19">
        <f>StrapScenario1!L19*'[1]New UBs'!$J$51/1000</f>
        <v/>
      </c>
      <c r="M19" s="4">
        <f>StrapScenario1!M19*'[1]New UBs'!$J$50</f>
        <v/>
      </c>
      <c r="N19" s="4">
        <f>StrapScenario1!N19*'[1]New UBs'!$J$51</f>
        <v/>
      </c>
      <c r="O19" s="4">
        <f>StrapScenario1!O19*'[1]New UBs'!$J$51</f>
        <v/>
      </c>
      <c r="P19" s="4">
        <f>StrapScenario1!P19/20</f>
        <v/>
      </c>
      <c r="Q19" s="4">
        <f>StrapScenario1!Q19</f>
        <v/>
      </c>
      <c r="S19" s="4" t="n"/>
    </row>
    <row r="20">
      <c r="A20">
        <f>StrapScenario1!A20</f>
        <v/>
      </c>
      <c r="B20">
        <f>StrapScenario1!B20</f>
        <v/>
      </c>
      <c r="C20">
        <f>StrapScenario1!C20</f>
        <v/>
      </c>
      <c r="D20">
        <f>StrapScenario1!D20*'[1]New UBs'!$J$51</f>
        <v/>
      </c>
      <c r="E20">
        <f>StrapScenario1!E20</f>
        <v/>
      </c>
      <c r="F20">
        <f>L20</f>
        <v/>
      </c>
      <c r="G20">
        <f>StrapScenario1!G20</f>
        <v/>
      </c>
      <c r="H20">
        <f>StrapScenario1!H20</f>
        <v/>
      </c>
      <c r="I20">
        <f>StrapScenario1!I20</f>
        <v/>
      </c>
      <c r="J20" s="24">
        <f>StrapScenario1!J20</f>
        <v/>
      </c>
      <c r="K20">
        <f>StrapScenario1!K20</f>
        <v/>
      </c>
      <c r="L20">
        <f>StrapScenario1!L20*'[1]New UBs'!$J$51/1000</f>
        <v/>
      </c>
      <c r="M20" s="4">
        <f>StrapScenario1!M20*'[1]New UBs'!$J$50</f>
        <v/>
      </c>
      <c r="N20" s="4">
        <f>StrapScenario1!N20*'[1]New UBs'!$J$51</f>
        <v/>
      </c>
      <c r="O20" s="4">
        <f>StrapScenario1!O20*'[1]New UBs'!$J$51</f>
        <v/>
      </c>
      <c r="P20" s="4">
        <f>StrapScenario1!P20/20</f>
        <v/>
      </c>
      <c r="Q20" s="4">
        <f>StrapScenario1!Q20</f>
        <v/>
      </c>
      <c r="S20" s="4" t="n"/>
    </row>
    <row r="21">
      <c r="A21">
        <f>StrapScenario1!A21</f>
        <v/>
      </c>
      <c r="B21">
        <f>StrapScenario1!B21</f>
        <v/>
      </c>
      <c r="C21">
        <f>StrapScenario1!C21</f>
        <v/>
      </c>
      <c r="D21">
        <f>StrapScenario1!D21*'[1]New UBs'!$J$51</f>
        <v/>
      </c>
      <c r="E21">
        <f>StrapScenario1!E21</f>
        <v/>
      </c>
      <c r="F21">
        <f>L21</f>
        <v/>
      </c>
      <c r="G21">
        <f>StrapScenario1!G21</f>
        <v/>
      </c>
      <c r="H21">
        <f>StrapScenario1!H21</f>
        <v/>
      </c>
      <c r="I21">
        <f>StrapScenario1!I21</f>
        <v/>
      </c>
      <c r="J21" s="24">
        <f>StrapScenario1!J21</f>
        <v/>
      </c>
      <c r="K21">
        <f>StrapScenario1!K21</f>
        <v/>
      </c>
      <c r="L21">
        <f>StrapScenario1!L21*'[1]New UBs'!$J$51/1000</f>
        <v/>
      </c>
      <c r="M21" s="4">
        <f>StrapScenario1!M21*'[1]New UBs'!$J$50</f>
        <v/>
      </c>
      <c r="N21" s="4">
        <f>StrapScenario1!N21*'[1]New UBs'!$J$51</f>
        <v/>
      </c>
      <c r="O21" s="4">
        <f>StrapScenario1!O21*'[1]New UBs'!$J$51</f>
        <v/>
      </c>
      <c r="P21" s="4">
        <f>StrapScenario1!P21/20</f>
        <v/>
      </c>
      <c r="Q21" s="4">
        <f>StrapScenario1!Q21</f>
        <v/>
      </c>
      <c r="S21" s="4" t="n"/>
    </row>
    <row r="22">
      <c r="A22">
        <f>StrapScenario1!A22</f>
        <v/>
      </c>
      <c r="B22">
        <f>StrapScenario1!B22</f>
        <v/>
      </c>
      <c r="C22">
        <f>StrapScenario1!C22</f>
        <v/>
      </c>
      <c r="D22">
        <f>StrapScenario1!D22*'[1]New UBs'!$J$50</f>
        <v/>
      </c>
      <c r="E22">
        <f>StrapScenario1!E22</f>
        <v/>
      </c>
      <c r="F22">
        <f>L22</f>
        <v/>
      </c>
      <c r="G22">
        <f>StrapScenario1!G22</f>
        <v/>
      </c>
      <c r="H22">
        <f>StrapScenario1!H22</f>
        <v/>
      </c>
      <c r="I22">
        <f>StrapScenario1!I22</f>
        <v/>
      </c>
      <c r="J22" s="24">
        <f>StrapScenario1!J22</f>
        <v/>
      </c>
      <c r="K22">
        <f>StrapScenario1!K22</f>
        <v/>
      </c>
      <c r="L22">
        <f>StrapScenario1!L22*'[1]New UBs'!$J$50/1000</f>
        <v/>
      </c>
      <c r="M22" s="4">
        <f>StrapScenario1!M22*'[1]New UBs'!$J$51</f>
        <v/>
      </c>
      <c r="N22" s="4">
        <f>StrapScenario1!N22*'[1]New UBs'!$J$50</f>
        <v/>
      </c>
      <c r="O22" s="4">
        <f>StrapScenario1!O22*'[1]New UBs'!$J$50</f>
        <v/>
      </c>
      <c r="P22" s="4">
        <f>StrapScenario1!P22/20</f>
        <v/>
      </c>
      <c r="Q22" s="4">
        <f>StrapScenario1!Q22</f>
        <v/>
      </c>
      <c r="S22" s="4" t="n"/>
    </row>
    <row r="23">
      <c r="A23">
        <f>StrapScenario1!A23</f>
        <v/>
      </c>
      <c r="B23">
        <f>StrapScenario1!B23</f>
        <v/>
      </c>
      <c r="C23">
        <f>StrapScenario1!C23</f>
        <v/>
      </c>
      <c r="D23">
        <f>StrapScenario1!D23*'[1]New UBs'!$J$50</f>
        <v/>
      </c>
      <c r="E23">
        <f>StrapScenario1!E23</f>
        <v/>
      </c>
      <c r="F23">
        <f>L23</f>
        <v/>
      </c>
      <c r="G23">
        <f>StrapScenario1!G23</f>
        <v/>
      </c>
      <c r="H23">
        <f>StrapScenario1!H23</f>
        <v/>
      </c>
      <c r="I23">
        <f>StrapScenario1!I23</f>
        <v/>
      </c>
      <c r="J23" s="24">
        <f>StrapScenario1!J23</f>
        <v/>
      </c>
      <c r="K23">
        <f>StrapScenario1!K23</f>
        <v/>
      </c>
      <c r="L23">
        <f>StrapScenario1!L23*'[1]New UBs'!$J$50/1000</f>
        <v/>
      </c>
      <c r="M23" s="4">
        <f>StrapScenario1!M23*'[1]New UBs'!$J$51</f>
        <v/>
      </c>
      <c r="N23" s="4">
        <f>StrapScenario1!N23*'[1]New UBs'!$J$50</f>
        <v/>
      </c>
      <c r="O23" s="4">
        <f>StrapScenario1!O23*'[1]New UBs'!$J$50</f>
        <v/>
      </c>
      <c r="P23" s="4">
        <f>StrapScenario1!P23/20</f>
        <v/>
      </c>
      <c r="Q23" s="4">
        <f>StrapScenario1!Q23</f>
        <v/>
      </c>
      <c r="S23" s="4" t="n"/>
    </row>
    <row r="24">
      <c r="A24">
        <f>StrapScenario1!A24</f>
        <v/>
      </c>
      <c r="B24">
        <f>StrapScenario1!B24</f>
        <v/>
      </c>
      <c r="C24">
        <f>StrapScenario1!C24</f>
        <v/>
      </c>
      <c r="D24">
        <f>StrapScenario1!D24*'[1]New UBs'!$J$50</f>
        <v/>
      </c>
      <c r="E24">
        <f>StrapScenario1!E24</f>
        <v/>
      </c>
      <c r="F24">
        <f>L24</f>
        <v/>
      </c>
      <c r="G24">
        <f>StrapScenario1!G24</f>
        <v/>
      </c>
      <c r="H24">
        <f>StrapScenario1!H24</f>
        <v/>
      </c>
      <c r="I24">
        <f>StrapScenario1!I24</f>
        <v/>
      </c>
      <c r="J24" s="24">
        <f>StrapScenario1!J24</f>
        <v/>
      </c>
      <c r="K24">
        <f>StrapScenario1!K24</f>
        <v/>
      </c>
      <c r="L24">
        <f>StrapScenario1!L24*'[1]New UBs'!$J$50/1000</f>
        <v/>
      </c>
      <c r="M24" s="4">
        <f>StrapScenario1!M24*'[1]New UBs'!$J$51</f>
        <v/>
      </c>
      <c r="N24" s="4">
        <f>StrapScenario1!N24*'[1]New UBs'!$J$50</f>
        <v/>
      </c>
      <c r="O24" s="4">
        <f>StrapScenario1!O24*'[1]New UBs'!$J$50</f>
        <v/>
      </c>
      <c r="P24" s="4">
        <f>StrapScenario1!P24/20</f>
        <v/>
      </c>
      <c r="Q24" s="4">
        <f>StrapScenario1!Q24</f>
        <v/>
      </c>
      <c r="S24" s="4" t="n"/>
    </row>
    <row r="25">
      <c r="A25">
        <f>StrapScenario1!A25</f>
        <v/>
      </c>
      <c r="B25">
        <f>StrapScenario1!B25</f>
        <v/>
      </c>
      <c r="C25">
        <f>StrapScenario1!C25</f>
        <v/>
      </c>
      <c r="D25">
        <f>StrapScenario1!D25*'[1]New UBs'!$J$50</f>
        <v/>
      </c>
      <c r="E25">
        <f>StrapScenario1!E25</f>
        <v/>
      </c>
      <c r="F25">
        <f>L25</f>
        <v/>
      </c>
      <c r="G25">
        <f>StrapScenario1!G25</f>
        <v/>
      </c>
      <c r="H25">
        <f>StrapScenario1!H25</f>
        <v/>
      </c>
      <c r="I25">
        <f>StrapScenario1!I25</f>
        <v/>
      </c>
      <c r="J25" s="24">
        <f>StrapScenario1!J25</f>
        <v/>
      </c>
      <c r="K25">
        <f>StrapScenario1!K25</f>
        <v/>
      </c>
      <c r="L25">
        <f>StrapScenario1!L25*'[1]New UBs'!$J$50/1000</f>
        <v/>
      </c>
      <c r="M25" s="4">
        <f>StrapScenario1!M25*'[1]New UBs'!$J$51</f>
        <v/>
      </c>
      <c r="N25" s="4">
        <f>StrapScenario1!N25*'[1]New UBs'!$J$50</f>
        <v/>
      </c>
      <c r="O25" s="4">
        <f>StrapScenario1!O25*'[1]New UBs'!$J$50</f>
        <v/>
      </c>
      <c r="P25" s="4">
        <f>StrapScenario1!P25/20</f>
        <v/>
      </c>
      <c r="Q25" s="4">
        <f>StrapScenario1!Q25</f>
        <v/>
      </c>
      <c r="S25" s="4" t="n"/>
    </row>
    <row r="26">
      <c r="A26">
        <f>StrapScenario1!A26</f>
        <v/>
      </c>
      <c r="B26">
        <f>StrapScenario1!B26</f>
        <v/>
      </c>
      <c r="C26">
        <f>StrapScenario1!C26</f>
        <v/>
      </c>
      <c r="D26">
        <f>StrapScenario1!D26*'[1]New UBs'!$J$50</f>
        <v/>
      </c>
      <c r="E26">
        <f>StrapScenario1!E26</f>
        <v/>
      </c>
      <c r="F26">
        <f>L26</f>
        <v/>
      </c>
      <c r="G26">
        <f>StrapScenario1!G26</f>
        <v/>
      </c>
      <c r="H26">
        <f>StrapScenario1!H26</f>
        <v/>
      </c>
      <c r="I26">
        <f>StrapScenario1!I26</f>
        <v/>
      </c>
      <c r="J26" s="24">
        <f>StrapScenario1!J26</f>
        <v/>
      </c>
      <c r="K26">
        <f>StrapScenario1!K26</f>
        <v/>
      </c>
      <c r="L26">
        <f>StrapScenario1!L26*'[1]New UBs'!$J$50/1000</f>
        <v/>
      </c>
      <c r="M26" s="4">
        <f>StrapScenario1!M26*'[1]New UBs'!$J$51</f>
        <v/>
      </c>
      <c r="N26" s="4">
        <f>StrapScenario1!N26*'[1]New UBs'!$J$50</f>
        <v/>
      </c>
      <c r="O26" s="4">
        <f>StrapScenario1!O26*'[1]New UBs'!$J$50</f>
        <v/>
      </c>
      <c r="P26" s="4">
        <f>StrapScenario1!P26/20</f>
        <v/>
      </c>
      <c r="Q26" s="4">
        <f>StrapScenario1!Q26</f>
        <v/>
      </c>
      <c r="S26" s="4" t="n"/>
    </row>
    <row r="27">
      <c r="A27">
        <f>StrapScenario1!A27</f>
        <v/>
      </c>
      <c r="B27">
        <f>StrapScenario1!B27</f>
        <v/>
      </c>
      <c r="C27">
        <f>StrapScenario1!C27</f>
        <v/>
      </c>
      <c r="D27">
        <f>StrapScenario1!D27*'[1]New UBs'!$J$50</f>
        <v/>
      </c>
      <c r="E27">
        <f>StrapScenario1!E27</f>
        <v/>
      </c>
      <c r="F27">
        <f>L27</f>
        <v/>
      </c>
      <c r="G27">
        <f>StrapScenario1!G27</f>
        <v/>
      </c>
      <c r="H27">
        <f>StrapScenario1!H27</f>
        <v/>
      </c>
      <c r="I27">
        <f>StrapScenario1!I27</f>
        <v/>
      </c>
      <c r="J27" s="24">
        <f>StrapScenario1!J27</f>
        <v/>
      </c>
      <c r="K27">
        <f>StrapScenario1!K27</f>
        <v/>
      </c>
      <c r="L27">
        <f>StrapScenario1!L27*'[1]New UBs'!$J$50/1000</f>
        <v/>
      </c>
      <c r="M27" s="4">
        <f>StrapScenario1!M27*'[1]New UBs'!$J$51</f>
        <v/>
      </c>
      <c r="N27" s="4">
        <f>StrapScenario1!N27*'[1]New UBs'!$J$50</f>
        <v/>
      </c>
      <c r="O27" s="4">
        <f>StrapScenario1!O27*'[1]New UBs'!$J$50</f>
        <v/>
      </c>
      <c r="P27" s="4">
        <f>StrapScenario1!P27/20</f>
        <v/>
      </c>
      <c r="Q27" s="4">
        <f>StrapScenario1!Q27</f>
        <v/>
      </c>
      <c r="S27" s="4" t="n"/>
    </row>
    <row r="28">
      <c r="A28">
        <f>StrapScenario1!A28</f>
        <v/>
      </c>
      <c r="B28">
        <f>StrapScenario1!B28</f>
        <v/>
      </c>
      <c r="C28">
        <f>StrapScenario1!C28</f>
        <v/>
      </c>
      <c r="D28">
        <f>StrapScenario1!D28*'[1]New UBs'!$J$50</f>
        <v/>
      </c>
      <c r="E28">
        <f>StrapScenario1!E28</f>
        <v/>
      </c>
      <c r="F28">
        <f>L28</f>
        <v/>
      </c>
      <c r="G28">
        <f>StrapScenario1!G28</f>
        <v/>
      </c>
      <c r="H28">
        <f>StrapScenario1!H28</f>
        <v/>
      </c>
      <c r="I28">
        <f>StrapScenario1!I28</f>
        <v/>
      </c>
      <c r="J28" s="24">
        <f>StrapScenario1!J28</f>
        <v/>
      </c>
      <c r="K28">
        <f>StrapScenario1!K28</f>
        <v/>
      </c>
      <c r="L28">
        <f>StrapScenario1!L28*'[1]New UBs'!$J$50/1000</f>
        <v/>
      </c>
      <c r="M28" s="4">
        <f>StrapScenario1!M28*'[1]New UBs'!$J$51</f>
        <v/>
      </c>
      <c r="N28" s="4">
        <f>StrapScenario1!N28*'[1]New UBs'!$J$50</f>
        <v/>
      </c>
      <c r="O28" s="4">
        <f>StrapScenario1!O28*'[1]New UBs'!$J$50</f>
        <v/>
      </c>
      <c r="P28" s="4">
        <f>StrapScenario1!P28/20</f>
        <v/>
      </c>
      <c r="Q28" s="4">
        <f>StrapScenario1!Q28</f>
        <v/>
      </c>
      <c r="S28" s="4" t="n"/>
    </row>
    <row r="30">
      <c r="P30" s="4" t="n"/>
      <c r="S30" s="4" t="n"/>
    </row>
    <row r="31">
      <c r="P31" s="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0"/>
  <sheetViews>
    <sheetView workbookViewId="0">
      <selection activeCell="G8" sqref="G8"/>
    </sheetView>
  </sheetViews>
  <sheetFormatPr baseColWidth="10" defaultRowHeight="16"/>
  <cols>
    <col width="14" customWidth="1" min="2" max="2"/>
  </cols>
  <sheetData>
    <row r="3">
      <c r="B3" t="inlineStr">
        <is>
          <t>profit</t>
        </is>
      </c>
      <c r="C3" t="inlineStr">
        <is>
          <t>ce</t>
        </is>
      </c>
    </row>
    <row r="4" ht="19" customHeight="1">
      <c r="B4" s="13" t="n"/>
      <c r="C4" s="13" t="n"/>
    </row>
    <row r="5" ht="19" customHeight="1">
      <c r="B5" s="15" t="n"/>
      <c r="C5" s="13" t="n"/>
    </row>
    <row r="6" ht="19" customHeight="1">
      <c r="B6" s="15" t="n">
        <v>4476300.1375</v>
      </c>
      <c r="C6" s="13" t="n">
        <v>0.72363450473005</v>
      </c>
    </row>
    <row r="7" ht="19" customHeight="1">
      <c r="B7" s="15" t="n">
        <v>7876773.91699999</v>
      </c>
      <c r="C7" s="13" t="n">
        <v>0.710328139763828</v>
      </c>
    </row>
    <row r="8" ht="19" customHeight="1">
      <c r="B8" s="15" t="n">
        <v>8187132.29299999</v>
      </c>
      <c r="C8" s="13" t="n">
        <v>0.695568815275271</v>
      </c>
    </row>
    <row r="10" ht="19" customHeight="1">
      <c r="B10" s="1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D2" sqref="D2"/>
    </sheetView>
  </sheetViews>
  <sheetFormatPr baseColWidth="10" defaultRowHeight="16"/>
  <sheetData>
    <row r="1" ht="170" customFormat="1" customHeight="1" s="12">
      <c r="A1" s="10" t="inlineStr">
        <is>
          <t>Wash number</t>
        </is>
      </c>
      <c r="B1" s="10">
        <f>'[1]Final Data (use this)'!C11</f>
        <v/>
      </c>
      <c r="C1" s="10">
        <f>'[1]Final Data (use this)'!D11</f>
        <v/>
      </c>
      <c r="D1" s="10" t="inlineStr">
        <is>
          <t>Total Energy Consumed [MJ/kg resin produced ]</t>
        </is>
      </c>
      <c r="E1" s="10" t="inlineStr">
        <is>
          <t>Total Electricity [MJ/kg resin]</t>
        </is>
      </c>
      <c r="F1" s="10" t="inlineStr">
        <is>
          <t>Total Direct GHG emissions [Scope 1] [metric tons CO2 equivalent [tCO2e/ton]]</t>
        </is>
      </c>
      <c r="G1" s="11" t="inlineStr">
        <is>
          <t>Total Energy indirect GHG emissions (Scope 2) [metric tons CO2 equivalent (t CO2e)]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Disposal[ton/ton]</t>
        </is>
      </c>
      <c r="L1" s="10" t="inlineStr">
        <is>
          <t>GWP [tonCO2e/ton resin]</t>
        </is>
      </c>
      <c r="M1" s="10" t="inlineStr">
        <is>
          <t>Human toxicity cancer [CTUh/kg resin]</t>
        </is>
      </c>
      <c r="N1" s="10" t="inlineStr">
        <is>
          <t>Human toxicity non-cancer [CTUh/kg resin]</t>
        </is>
      </c>
      <c r="O1" s="10" t="inlineStr">
        <is>
          <t>Ecotoxicity [CTUe/kg resin]</t>
        </is>
      </c>
      <c r="P1" s="10" t="inlineStr">
        <is>
          <t>CAPEX [USD]</t>
        </is>
      </c>
      <c r="Q1" s="10" t="inlineStr">
        <is>
          <t>OPEX [USD/yr]</t>
        </is>
      </c>
    </row>
    <row r="2">
      <c r="A2" t="inlineStr">
        <is>
          <t>Wash 1</t>
        </is>
      </c>
      <c r="B2" t="inlineStr">
        <is>
          <t>PE</t>
        </is>
      </c>
      <c r="C2" t="inlineStr">
        <is>
          <t>sec-Butyl Acetate</t>
        </is>
      </c>
      <c r="D2">
        <f>[2]Process_results_C1_P1!B2+Shredder!$B$2</f>
        <v/>
      </c>
      <c r="E2" t="n">
        <v>0</v>
      </c>
      <c r="F2">
        <f>L2</f>
        <v/>
      </c>
      <c r="G2" t="n">
        <v>0</v>
      </c>
      <c r="H2" t="n">
        <v>1006.01</v>
      </c>
      <c r="I2" t="n">
        <v>65401.74</v>
      </c>
      <c r="J2" t="n">
        <v>7403.53</v>
      </c>
      <c r="K2" t="n">
        <v>0</v>
      </c>
      <c r="L2">
        <f>[2]Process_results_C1_P1!C2+Shredder!$K$2</f>
        <v/>
      </c>
      <c r="M2" s="4">
        <f>[2]Process_results_C1_P1!H2+Shredder!$L$2</f>
        <v/>
      </c>
      <c r="N2" s="4">
        <f>[2]Process_results_C1_P1!I2+Shredder!$M$2</f>
        <v/>
      </c>
      <c r="O2" s="4">
        <f>[2]Process_results_C1_P1!J2+Shredder!$N$2</f>
        <v/>
      </c>
      <c r="P2" s="4">
        <f>[2]Process_results_C1_P1!K2+Shredder!$O$2</f>
        <v/>
      </c>
      <c r="Q2" s="4">
        <f>[2]Process_results_C1_P1!L2+Shredder!$P$2</f>
        <v/>
      </c>
    </row>
    <row r="3">
      <c r="A3" t="inlineStr">
        <is>
          <t>Wash 1</t>
        </is>
      </c>
      <c r="B3" t="inlineStr">
        <is>
          <t>PE</t>
        </is>
      </c>
      <c r="C3" t="inlineStr">
        <is>
          <t>Isobutyl Acetate</t>
        </is>
      </c>
      <c r="D3">
        <f>[2]Process_results_C1_P1!B3+Shredder!$B$2</f>
        <v/>
      </c>
      <c r="E3" t="n">
        <v>0</v>
      </c>
      <c r="F3">
        <f>L3</f>
        <v/>
      </c>
      <c r="G3" t="n">
        <v>0</v>
      </c>
      <c r="H3" t="n">
        <v>994.95</v>
      </c>
      <c r="I3" t="n">
        <v>64491.6</v>
      </c>
      <c r="J3" t="n">
        <v>7463.47</v>
      </c>
      <c r="K3" t="n">
        <v>0</v>
      </c>
      <c r="L3">
        <f>[2]Process_results_C1_P1!C3+Shredder!$K$2</f>
        <v/>
      </c>
      <c r="M3" s="4">
        <f>[2]Process_results_C1_P1!H3+Shredder!$L$2</f>
        <v/>
      </c>
      <c r="N3" s="4">
        <f>[2]Process_results_C1_P1!I3+Shredder!$M$2</f>
        <v/>
      </c>
      <c r="O3" s="4">
        <f>[2]Process_results_C1_P1!J3+Shredder!$N$2</f>
        <v/>
      </c>
      <c r="P3" s="4">
        <f>[2]Process_results_C1_P1!K3+Shredder!$O$2</f>
        <v/>
      </c>
      <c r="Q3" s="4">
        <f>[2]Process_results_C1_P1!L3+Shredder!$P$2</f>
        <v/>
      </c>
    </row>
    <row r="4">
      <c r="A4" t="inlineStr">
        <is>
          <t>Wash 1</t>
        </is>
      </c>
      <c r="B4" t="inlineStr">
        <is>
          <t>PE</t>
        </is>
      </c>
      <c r="C4" t="inlineStr">
        <is>
          <t>Tetrachloroethylene</t>
        </is>
      </c>
      <c r="D4">
        <f>[2]Process_results_C1_P1!B4+Shredder!$B$2</f>
        <v/>
      </c>
      <c r="E4" t="n">
        <v>0</v>
      </c>
      <c r="F4">
        <f>L4</f>
        <v/>
      </c>
      <c r="G4" t="n">
        <v>0</v>
      </c>
      <c r="H4" t="n">
        <v>683.96</v>
      </c>
      <c r="I4" t="n">
        <v>38449.65</v>
      </c>
      <c r="J4" t="n">
        <v>4419.13</v>
      </c>
      <c r="K4" t="n">
        <v>0</v>
      </c>
      <c r="L4">
        <f>[2]Process_results_C1_P1!C4+Shredder!$K$2</f>
        <v/>
      </c>
      <c r="M4" s="4">
        <f>[2]Process_results_C1_P1!H4+Shredder!$L$2</f>
        <v/>
      </c>
      <c r="N4" s="4">
        <f>[2]Process_results_C1_P1!I4+Shredder!$M$2</f>
        <v/>
      </c>
      <c r="O4" s="4">
        <f>[2]Process_results_C1_P1!J4+Shredder!$N$2</f>
        <v/>
      </c>
      <c r="P4" s="4">
        <f>[2]Process_results_C1_P1!K4+Shredder!$O$2</f>
        <v/>
      </c>
      <c r="Q4" s="4">
        <f>[2]Process_results_C1_P1!L4+Shredder!$P$2</f>
        <v/>
      </c>
    </row>
    <row r="5">
      <c r="A5" t="inlineStr">
        <is>
          <t>Wash 1</t>
        </is>
      </c>
      <c r="B5" t="inlineStr">
        <is>
          <t>PE</t>
        </is>
      </c>
      <c r="C5" t="inlineStr">
        <is>
          <t>o-Chlorotoluene</t>
        </is>
      </c>
      <c r="D5">
        <f>[2]Process_results_C1_P1!B5+Shredder!$B$2</f>
        <v/>
      </c>
      <c r="E5" t="n">
        <v>0</v>
      </c>
      <c r="F5">
        <f>L5</f>
        <v/>
      </c>
      <c r="G5" t="n">
        <v>0</v>
      </c>
      <c r="H5" t="n">
        <v>1139.79</v>
      </c>
      <c r="I5" t="n">
        <v>76633.44</v>
      </c>
      <c r="J5" t="n">
        <v>6319.81</v>
      </c>
      <c r="K5" t="n">
        <v>0</v>
      </c>
      <c r="L5">
        <f>[2]Process_results_C1_P1!C5+Shredder!$K$2</f>
        <v/>
      </c>
      <c r="M5" s="4">
        <f>[2]Process_results_C1_P1!H5+Shredder!$L$2</f>
        <v/>
      </c>
      <c r="N5" s="4">
        <f>[2]Process_results_C1_P1!I5+Shredder!$M$2</f>
        <v/>
      </c>
      <c r="O5" s="4">
        <f>[2]Process_results_C1_P1!J5+Shredder!$N$2</f>
        <v/>
      </c>
      <c r="P5" s="4">
        <f>[2]Process_results_C1_P1!K5+Shredder!$O$2</f>
        <v/>
      </c>
      <c r="Q5" s="4">
        <f>[2]Process_results_C1_P1!L5+Shredder!$P$2</f>
        <v/>
      </c>
    </row>
    <row r="6">
      <c r="A6" t="inlineStr">
        <is>
          <t>Wash 1</t>
        </is>
      </c>
      <c r="B6" t="inlineStr">
        <is>
          <t>PE</t>
        </is>
      </c>
      <c r="C6" t="inlineStr">
        <is>
          <t>Methylcyclohexane</t>
        </is>
      </c>
      <c r="D6">
        <f>[2]Process_results_C1_P1!B6+Shredder!$B$2</f>
        <v/>
      </c>
      <c r="E6" t="n">
        <v>0</v>
      </c>
      <c r="F6">
        <f>L6</f>
        <v/>
      </c>
      <c r="G6" t="n">
        <v>0</v>
      </c>
      <c r="H6" t="n">
        <v>887.08</v>
      </c>
      <c r="I6" t="n">
        <v>55514.4</v>
      </c>
      <c r="J6" t="n">
        <v>8129.51</v>
      </c>
      <c r="K6" t="n">
        <v>0</v>
      </c>
      <c r="L6">
        <f>[2]Process_results_C1_P1!C6+Shredder!$K$2</f>
        <v/>
      </c>
      <c r="M6" s="4">
        <f>[2]Process_results_C1_P1!H6+Shredder!$L$2</f>
        <v/>
      </c>
      <c r="N6" s="4">
        <f>[2]Process_results_C1_P1!I6+Shredder!$M$2</f>
        <v/>
      </c>
      <c r="O6" s="4">
        <f>[2]Process_results_C1_P1!J6+Shredder!$N$2</f>
        <v/>
      </c>
      <c r="P6" s="4">
        <f>[2]Process_results_C1_P1!K6+Shredder!$O$2</f>
        <v/>
      </c>
      <c r="Q6" s="4">
        <f>[2]Process_results_C1_P1!L6+Shredder!$P$2</f>
        <v/>
      </c>
    </row>
    <row r="7">
      <c r="A7" t="inlineStr">
        <is>
          <t>Wash 1</t>
        </is>
      </c>
      <c r="B7" t="inlineStr">
        <is>
          <t>PE</t>
        </is>
      </c>
      <c r="C7" t="inlineStr">
        <is>
          <t>Dodecanol</t>
        </is>
      </c>
      <c r="D7">
        <f>[2]Process_results_C1_P1!B7+Shredder!$B$2</f>
        <v/>
      </c>
      <c r="E7" t="n">
        <v>0</v>
      </c>
      <c r="F7">
        <f>L7</f>
        <v/>
      </c>
      <c r="G7" t="n">
        <v>0</v>
      </c>
      <c r="H7" t="n">
        <v>2487.39</v>
      </c>
      <c r="I7" t="n">
        <v>187927.49</v>
      </c>
      <c r="J7" t="n">
        <v>8514.940000000001</v>
      </c>
      <c r="K7" t="n">
        <v>0</v>
      </c>
      <c r="L7">
        <f>[2]Process_results_C1_P1!C7+Shredder!$K$2</f>
        <v/>
      </c>
      <c r="M7" s="4">
        <f>[2]Process_results_C1_P1!H7+Shredder!$L$2</f>
        <v/>
      </c>
      <c r="N7" s="4">
        <f>[2]Process_results_C1_P1!I7+Shredder!$M$2</f>
        <v/>
      </c>
      <c r="O7" s="4">
        <f>[2]Process_results_C1_P1!J7+Shredder!$N$2</f>
        <v/>
      </c>
      <c r="P7" s="4">
        <f>[2]Process_results_C1_P1!K7+Shredder!$O$2</f>
        <v/>
      </c>
      <c r="Q7" s="4">
        <f>[2]Process_results_C1_P1!L7+Shredder!$P$2</f>
        <v/>
      </c>
    </row>
    <row r="8">
      <c r="A8" t="inlineStr">
        <is>
          <t>Wash 1</t>
        </is>
      </c>
      <c r="B8" t="inlineStr">
        <is>
          <t>PE</t>
        </is>
      </c>
      <c r="C8" t="inlineStr">
        <is>
          <t>Heptane</t>
        </is>
      </c>
      <c r="D8">
        <f>[2]Process_results_C1_P1!B8+Shredder!$B$2</f>
        <v/>
      </c>
      <c r="E8" t="n">
        <v>0</v>
      </c>
      <c r="F8">
        <f>L8</f>
        <v/>
      </c>
      <c r="G8" t="n">
        <v>0</v>
      </c>
      <c r="H8" t="n">
        <v>920.27</v>
      </c>
      <c r="I8" t="n">
        <v>58179.21</v>
      </c>
      <c r="J8" t="n">
        <v>9006.42</v>
      </c>
      <c r="K8" t="n">
        <v>0</v>
      </c>
      <c r="L8">
        <f>[2]Process_results_C1_P1!C8+Shredder!$K$2</f>
        <v/>
      </c>
      <c r="M8" s="4">
        <f>[2]Process_results_C1_P1!H8+Shredder!$L$2</f>
        <v/>
      </c>
      <c r="N8" s="4">
        <f>[2]Process_results_C1_P1!I8+Shredder!$M$2</f>
        <v/>
      </c>
      <c r="O8" s="4">
        <f>[2]Process_results_C1_P1!J8+Shredder!$N$2</f>
        <v/>
      </c>
      <c r="P8" s="4">
        <f>[2]Process_results_C1_P1!K8+Shredder!$O$2</f>
        <v/>
      </c>
      <c r="Q8" s="4">
        <f>[2]Process_results_C1_P1!L8+Shredder!$P$2</f>
        <v/>
      </c>
    </row>
    <row r="9">
      <c r="A9" t="inlineStr">
        <is>
          <t>Wash 1</t>
        </is>
      </c>
      <c r="B9" t="inlineStr">
        <is>
          <t>PE</t>
        </is>
      </c>
      <c r="C9" t="inlineStr">
        <is>
          <t>Toluene</t>
        </is>
      </c>
      <c r="D9">
        <f>[2]Process_results_C1_P1!B9+Shredder!$B$2</f>
        <v/>
      </c>
      <c r="E9" t="n">
        <v>0</v>
      </c>
      <c r="F9">
        <f>L9</f>
        <v/>
      </c>
      <c r="G9" t="n">
        <v>0</v>
      </c>
      <c r="H9" t="n">
        <v>1040.73</v>
      </c>
      <c r="I9" t="n">
        <v>67836.92999999999</v>
      </c>
      <c r="J9" t="n">
        <v>11871.24</v>
      </c>
      <c r="K9" t="n">
        <v>0</v>
      </c>
      <c r="L9">
        <f>[2]Process_results_C1_P1!C9+Shredder!$K$2</f>
        <v/>
      </c>
      <c r="M9" s="4">
        <f>[2]Process_results_C1_P1!H9+Shredder!$L$2</f>
        <v/>
      </c>
      <c r="N9" s="4">
        <f>[2]Process_results_C1_P1!I9+Shredder!$M$2</f>
        <v/>
      </c>
      <c r="O9" s="4">
        <f>[2]Process_results_C1_P1!J9+Shredder!$N$2</f>
        <v/>
      </c>
      <c r="P9" s="4">
        <f>[2]Process_results_C1_P1!K9+Shredder!$O$2</f>
        <v/>
      </c>
      <c r="Q9" s="4">
        <f>[2]Process_results_C1_P1!L9+Shredder!$P$2</f>
        <v/>
      </c>
    </row>
    <row r="10">
      <c r="A10" t="inlineStr">
        <is>
          <t>Wash 1</t>
        </is>
      </c>
      <c r="B10" t="inlineStr">
        <is>
          <t>PE</t>
        </is>
      </c>
      <c r="C10" t="inlineStr">
        <is>
          <t>Xylene</t>
        </is>
      </c>
      <c r="D10">
        <f>[2]Process_results_C1_P1!B10+Shredder!$B$2</f>
        <v/>
      </c>
      <c r="E10" t="n">
        <v>0</v>
      </c>
      <c r="F10">
        <f>L10</f>
        <v/>
      </c>
      <c r="G10" t="n">
        <v>0</v>
      </c>
      <c r="H10" t="n">
        <v>1159.2</v>
      </c>
      <c r="I10" t="n">
        <v>78331.71000000001</v>
      </c>
      <c r="J10" t="n">
        <v>7294.56</v>
      </c>
      <c r="K10" t="n">
        <v>0</v>
      </c>
      <c r="L10">
        <f>[2]Process_results_C1_P1!C10+Shredder!$K$2</f>
        <v/>
      </c>
      <c r="M10" s="4">
        <f>[2]Process_results_C1_P1!H10+Shredder!$L$2</f>
        <v/>
      </c>
      <c r="N10" s="4">
        <f>[2]Process_results_C1_P1!I10+Shredder!$M$2</f>
        <v/>
      </c>
      <c r="O10" s="4">
        <f>[2]Process_results_C1_P1!J10+Shredder!$N$2</f>
        <v/>
      </c>
      <c r="P10" s="4">
        <f>[2]Process_results_C1_P1!K10+Shredder!$O$2</f>
        <v/>
      </c>
      <c r="Q10" s="4">
        <f>[2]Process_results_C1_P1!L10+Shredder!$P$2</f>
        <v/>
      </c>
    </row>
    <row r="11">
      <c r="A11" t="inlineStr">
        <is>
          <t>Wash 1</t>
        </is>
      </c>
      <c r="B11" t="inlineStr">
        <is>
          <t>EVOH</t>
        </is>
      </c>
      <c r="C11">
        <f>[3]Process_results_C1_E1!$A$2</f>
        <v/>
      </c>
      <c r="D11">
        <f>[3]Process_results_C1_E1!B2+Shredder!$B$2</f>
        <v/>
      </c>
      <c r="E11" t="n">
        <v>0</v>
      </c>
      <c r="F11">
        <f>L11</f>
        <v/>
      </c>
      <c r="G11" t="n">
        <v>0</v>
      </c>
      <c r="H11" t="n">
        <v>1512.92</v>
      </c>
      <c r="I11" t="n">
        <v>125060.56</v>
      </c>
      <c r="J11" s="6" t="n">
        <v>2426.35</v>
      </c>
      <c r="K11" t="n">
        <v>0</v>
      </c>
      <c r="L11">
        <f>[3]Process_results_C1_E1!C2+Shredder!$K$2</f>
        <v/>
      </c>
      <c r="M11" s="4">
        <f>[3]Process_results_C1_E1!H2+Shredder!$L$2</f>
        <v/>
      </c>
      <c r="N11" s="4">
        <f>[3]Process_results_C1_E1!I2+Shredder!$M$2</f>
        <v/>
      </c>
      <c r="O11" s="4">
        <f>[3]Process_results_C1_E1!J2+Shredder!$N$2</f>
        <v/>
      </c>
      <c r="P11" s="4">
        <f>[3]Process_results_C1_E1!K2+Shredder!$O$2</f>
        <v/>
      </c>
      <c r="Q11" s="4">
        <f>[3]Process_results_C1_E1!L2+Shredder!$P$2</f>
        <v/>
      </c>
    </row>
    <row r="12">
      <c r="A12" t="inlineStr">
        <is>
          <t>Wash 1</t>
        </is>
      </c>
      <c r="B12" t="inlineStr">
        <is>
          <t>EVOH</t>
        </is>
      </c>
      <c r="C12">
        <f>[3]Process_results_C1_E1!$A$3</f>
        <v/>
      </c>
      <c r="D12">
        <f>[3]Process_results_C1_E1!B3+Shredder!$B$2</f>
        <v/>
      </c>
      <c r="E12" t="n">
        <v>0</v>
      </c>
      <c r="F12">
        <f>L12</f>
        <v/>
      </c>
      <c r="G12" t="n">
        <v>0</v>
      </c>
      <c r="H12" t="n">
        <v>964.84</v>
      </c>
      <c r="I12" t="n">
        <v>76612.87</v>
      </c>
      <c r="J12" s="6" t="n">
        <v>2837.85</v>
      </c>
      <c r="K12" t="n">
        <v>0</v>
      </c>
      <c r="L12">
        <f>[3]Process_results_C1_E1!C3+Shredder!$K$2</f>
        <v/>
      </c>
      <c r="M12" s="4">
        <f>[3]Process_results_C1_E1!H3+Shredder!$L$2</f>
        <v/>
      </c>
      <c r="N12" s="4">
        <f>[3]Process_results_C1_E1!I3+Shredder!$M$2</f>
        <v/>
      </c>
      <c r="O12" s="4">
        <f>[3]Process_results_C1_E1!J3+Shredder!$N$2</f>
        <v/>
      </c>
      <c r="P12" s="4">
        <f>[3]Process_results_C1_E1!K3+Shredder!$O$2</f>
        <v/>
      </c>
      <c r="Q12" s="4">
        <f>[3]Process_results_C1_E1!L3+Shredder!$P$2</f>
        <v/>
      </c>
    </row>
    <row r="13">
      <c r="A13" t="inlineStr">
        <is>
          <t>Wash 2</t>
        </is>
      </c>
      <c r="B13" t="inlineStr">
        <is>
          <t>PE</t>
        </is>
      </c>
      <c r="C13" t="inlineStr">
        <is>
          <t>sec-Butyl Acetate</t>
        </is>
      </c>
      <c r="D13" t="n">
        <v>5.02</v>
      </c>
      <c r="E13" t="n">
        <v>0</v>
      </c>
      <c r="F13">
        <f>L13</f>
        <v/>
      </c>
      <c r="G13" t="n">
        <v>0</v>
      </c>
      <c r="H13" t="n">
        <v>966.49</v>
      </c>
      <c r="I13" t="n">
        <v>62262.96</v>
      </c>
      <c r="J13" s="6" t="n">
        <v>7303.6</v>
      </c>
      <c r="K13" t="n">
        <v>0</v>
      </c>
      <c r="L13" t="n">
        <v>1.20053287965238</v>
      </c>
      <c r="M13" s="4" t="n">
        <v>4.53380190578712e-08</v>
      </c>
      <c r="N13" s="4" t="n">
        <v>2.50785076095322e-08</v>
      </c>
      <c r="O13" t="n">
        <v>1.27777753343092</v>
      </c>
      <c r="P13" t="n">
        <v>40931215.16</v>
      </c>
      <c r="Q13" t="n">
        <v>1047740.07</v>
      </c>
    </row>
    <row r="14">
      <c r="A14" t="inlineStr">
        <is>
          <t>Wash 2</t>
        </is>
      </c>
      <c r="B14" t="inlineStr">
        <is>
          <t>PE</t>
        </is>
      </c>
      <c r="C14" t="inlineStr">
        <is>
          <t>Isobutyl Acetate</t>
        </is>
      </c>
      <c r="D14" t="n">
        <v>5.02</v>
      </c>
      <c r="E14" t="n">
        <v>0</v>
      </c>
      <c r="F14">
        <f>L14</f>
        <v/>
      </c>
      <c r="G14" t="n">
        <v>0</v>
      </c>
      <c r="H14" t="n">
        <v>958.02</v>
      </c>
      <c r="I14" t="n">
        <v>61569.48</v>
      </c>
      <c r="J14" s="6" t="n">
        <v>7363.19</v>
      </c>
      <c r="K14" t="n">
        <v>0</v>
      </c>
      <c r="L14" t="n">
        <v>1.19681298142536</v>
      </c>
      <c r="M14" s="4" t="n">
        <v>4.52464157081559e-08</v>
      </c>
      <c r="N14" s="4" t="n">
        <v>2.50902234385171e-08</v>
      </c>
      <c r="O14" t="n">
        <v>1.27744535725179</v>
      </c>
      <c r="P14" t="n">
        <v>41185361.56</v>
      </c>
      <c r="Q14" t="n">
        <v>1052268.16</v>
      </c>
    </row>
    <row r="15">
      <c r="A15" t="inlineStr">
        <is>
          <t>Wash 2</t>
        </is>
      </c>
      <c r="B15" t="inlineStr">
        <is>
          <t>PE</t>
        </is>
      </c>
      <c r="C15" t="inlineStr">
        <is>
          <t>Tetrachloroethylene</t>
        </is>
      </c>
      <c r="D15" t="n">
        <v>4.8</v>
      </c>
      <c r="E15" t="n">
        <v>0</v>
      </c>
      <c r="F15">
        <f>L15</f>
        <v/>
      </c>
      <c r="G15" t="n">
        <v>0</v>
      </c>
      <c r="H15" t="n">
        <v>656.12</v>
      </c>
      <c r="I15" t="n">
        <v>36362.45</v>
      </c>
      <c r="J15" s="6" t="n">
        <v>4341.89</v>
      </c>
      <c r="K15" t="n">
        <v>0</v>
      </c>
      <c r="L15" t="n">
        <v>1.09651032513067</v>
      </c>
      <c r="M15" s="4" t="n">
        <v>3.98666382575951e-08</v>
      </c>
      <c r="N15" s="4" t="n">
        <v>2.17642790773623e-08</v>
      </c>
      <c r="O15" t="n">
        <v>1.0740142571786</v>
      </c>
      <c r="P15" t="n">
        <v>35754823.19</v>
      </c>
      <c r="Q15" t="n">
        <v>938269.24</v>
      </c>
    </row>
    <row r="16">
      <c r="A16" t="inlineStr">
        <is>
          <t>Wash 2</t>
        </is>
      </c>
      <c r="B16" t="inlineStr">
        <is>
          <t>PE</t>
        </is>
      </c>
      <c r="C16" t="inlineStr">
        <is>
          <t>o-Chlorotoluene</t>
        </is>
      </c>
      <c r="D16" t="n">
        <v>5.01</v>
      </c>
      <c r="E16" t="n">
        <v>0</v>
      </c>
      <c r="F16">
        <f>L16</f>
        <v/>
      </c>
      <c r="G16" t="n">
        <v>0</v>
      </c>
      <c r="H16" t="n">
        <v>1098.51</v>
      </c>
      <c r="I16" t="n">
        <v>73352.38</v>
      </c>
      <c r="J16" s="6" t="n">
        <v>6226.9</v>
      </c>
      <c r="K16" t="n">
        <v>0</v>
      </c>
      <c r="L16" t="n">
        <v>1.23654791018955</v>
      </c>
      <c r="M16" s="4" t="n">
        <v>4.63348817363589e-08</v>
      </c>
      <c r="N16" s="4" t="n">
        <v>2.5177552122723e-08</v>
      </c>
      <c r="O16" t="n">
        <v>1.29726993498376</v>
      </c>
      <c r="P16" t="n">
        <v>39697204.27</v>
      </c>
      <c r="Q16" t="n">
        <v>1028423.1</v>
      </c>
    </row>
    <row r="17">
      <c r="A17" t="inlineStr">
        <is>
          <t>Wash 2</t>
        </is>
      </c>
      <c r="B17" t="inlineStr">
        <is>
          <t>PE</t>
        </is>
      </c>
      <c r="C17" t="inlineStr">
        <is>
          <t>Methylcyclohexane</t>
        </is>
      </c>
      <c r="D17" t="n">
        <v>5.01</v>
      </c>
      <c r="E17" t="n">
        <v>0</v>
      </c>
      <c r="F17">
        <f>L17</f>
        <v/>
      </c>
      <c r="G17" t="n">
        <v>0</v>
      </c>
      <c r="H17" t="n">
        <v>846.45</v>
      </c>
      <c r="I17" t="n">
        <v>52253.34</v>
      </c>
      <c r="J17" s="6" t="n">
        <v>8025.78</v>
      </c>
      <c r="K17" t="n">
        <v>0</v>
      </c>
      <c r="L17" t="n">
        <v>1.15628554543666</v>
      </c>
      <c r="M17" s="4" t="n">
        <v>4.29217305772244e-08</v>
      </c>
      <c r="N17" s="4" t="n">
        <v>2.29886277203154e-08</v>
      </c>
      <c r="O17" t="n">
        <v>1.18164025115455</v>
      </c>
      <c r="P17" t="n">
        <v>41755739.95</v>
      </c>
      <c r="Q17" t="n">
        <v>1059416.72</v>
      </c>
    </row>
    <row r="18">
      <c r="A18" t="inlineStr">
        <is>
          <t>Wash 2</t>
        </is>
      </c>
      <c r="B18" t="inlineStr">
        <is>
          <t>PE</t>
        </is>
      </c>
      <c r="C18" t="inlineStr">
        <is>
          <t>Dodecanol</t>
        </is>
      </c>
      <c r="D18" t="n">
        <v>5.48</v>
      </c>
      <c r="E18" t="n">
        <v>0</v>
      </c>
      <c r="F18">
        <f>L18</f>
        <v/>
      </c>
      <c r="G18" t="n">
        <v>0</v>
      </c>
      <c r="H18" t="n">
        <v>2419.67</v>
      </c>
      <c r="I18" t="n">
        <v>182520.62</v>
      </c>
      <c r="J18" s="6" t="n">
        <v>8405.549999999999</v>
      </c>
      <c r="K18" t="n">
        <v>0</v>
      </c>
      <c r="L18" t="n">
        <v>1.72074356371263</v>
      </c>
      <c r="M18" s="4" t="n">
        <v>6.531450507333391e-08</v>
      </c>
      <c r="N18" s="4" t="n">
        <v>3.97758599639699e-08</v>
      </c>
      <c r="O18" t="n">
        <v>1.99673036886323</v>
      </c>
      <c r="P18" t="n">
        <v>45094363.81</v>
      </c>
      <c r="Q18" t="n">
        <v>1186252</v>
      </c>
    </row>
    <row r="19">
      <c r="A19" t="inlineStr">
        <is>
          <t>Wash 2</t>
        </is>
      </c>
      <c r="B19" t="inlineStr">
        <is>
          <t>PE</t>
        </is>
      </c>
      <c r="C19" t="inlineStr">
        <is>
          <t>Heptane</t>
        </is>
      </c>
      <c r="D19" t="n">
        <v>5.06</v>
      </c>
      <c r="E19" t="n">
        <v>0</v>
      </c>
      <c r="F19">
        <f>L19</f>
        <v/>
      </c>
      <c r="G19" t="n">
        <v>0</v>
      </c>
      <c r="H19" t="n">
        <v>880.03</v>
      </c>
      <c r="I19" t="n">
        <v>54950.96</v>
      </c>
      <c r="J19" s="6" t="n">
        <v>8897.139999999999</v>
      </c>
      <c r="K19" t="n">
        <v>0</v>
      </c>
      <c r="L19" t="n">
        <v>1.16885536614101</v>
      </c>
      <c r="M19" s="4" t="n">
        <v>4.30018024432668e-08</v>
      </c>
      <c r="N19" s="4" t="n">
        <v>2.27198749208076e-08</v>
      </c>
      <c r="O19" t="n">
        <v>1.16563559112257</v>
      </c>
      <c r="P19" t="n">
        <v>43208033.3</v>
      </c>
      <c r="Q19" t="n">
        <v>1088889.16</v>
      </c>
    </row>
    <row r="20">
      <c r="A20" t="inlineStr">
        <is>
          <t>Wash 2</t>
        </is>
      </c>
      <c r="B20" t="inlineStr">
        <is>
          <t>PE</t>
        </is>
      </c>
      <c r="C20" t="inlineStr">
        <is>
          <t>Toluene</t>
        </is>
      </c>
      <c r="D20" t="n">
        <v>5.18</v>
      </c>
      <c r="E20" t="n">
        <v>0</v>
      </c>
      <c r="F20">
        <f>L20</f>
        <v/>
      </c>
      <c r="G20" t="n">
        <v>0</v>
      </c>
      <c r="H20" t="n">
        <v>993.67</v>
      </c>
      <c r="I20" t="n">
        <v>64056.57</v>
      </c>
      <c r="J20" s="6" t="n">
        <v>11716.23</v>
      </c>
      <c r="K20" t="n">
        <v>0</v>
      </c>
      <c r="L20" t="n">
        <v>1.21412327543286</v>
      </c>
      <c r="M20" s="4" t="n">
        <v>4.5108742512577e-08</v>
      </c>
      <c r="N20" s="4" t="n">
        <v>2.38763847717748e-08</v>
      </c>
      <c r="O20" t="n">
        <v>1.23029144487376</v>
      </c>
      <c r="P20" t="n">
        <v>46986126.52</v>
      </c>
      <c r="Q20" t="n">
        <v>1179441.83</v>
      </c>
    </row>
    <row r="21">
      <c r="A21" t="inlineStr">
        <is>
          <t>Wash 2</t>
        </is>
      </c>
      <c r="B21" t="inlineStr">
        <is>
          <t>PE</t>
        </is>
      </c>
      <c r="C21" t="inlineStr">
        <is>
          <t>Xylene</t>
        </is>
      </c>
      <c r="D21" t="n">
        <v>5.06</v>
      </c>
      <c r="E21" t="n">
        <v>0</v>
      </c>
      <c r="F21">
        <f>L21</f>
        <v/>
      </c>
      <c r="G21" t="n">
        <v>0</v>
      </c>
      <c r="H21" t="n">
        <v>1117.99</v>
      </c>
      <c r="I21" t="n">
        <v>75028.67</v>
      </c>
      <c r="J21" s="6" t="n">
        <v>7194.85</v>
      </c>
      <c r="K21" t="n">
        <v>0</v>
      </c>
      <c r="L21" t="n">
        <v>1.23848992790617</v>
      </c>
      <c r="M21" s="4" t="n">
        <v>4.56638090089901e-08</v>
      </c>
      <c r="N21" s="4" t="n">
        <v>2.40044061550227e-08</v>
      </c>
      <c r="O21" t="n">
        <v>1.23519403964998</v>
      </c>
      <c r="P21" t="n">
        <v>41234663.74</v>
      </c>
      <c r="Q21" t="n">
        <v>1058246.06</v>
      </c>
    </row>
    <row r="22">
      <c r="A22" t="inlineStr">
        <is>
          <t>Wash 2</t>
        </is>
      </c>
      <c r="B22" t="inlineStr">
        <is>
          <t>EVOH</t>
        </is>
      </c>
      <c r="C22" t="inlineStr">
        <is>
          <t>butane-1,4-diol</t>
        </is>
      </c>
      <c r="D22">
        <f>[4]Process_results_C1_E2!B2*Shredder!$B$2</f>
        <v/>
      </c>
      <c r="E22" t="n">
        <v>0</v>
      </c>
      <c r="F22">
        <f>L22</f>
        <v/>
      </c>
      <c r="G22" t="n">
        <v>0</v>
      </c>
      <c r="H22">
        <f>[4]Process_results_C1_E2!F2</f>
        <v/>
      </c>
      <c r="I22">
        <f>[4]Process_results_C1_E2!G2</f>
        <v/>
      </c>
      <c r="J22">
        <f>[4]Process_results_C1_E2!D2</f>
        <v/>
      </c>
      <c r="K22" t="n">
        <v>0</v>
      </c>
      <c r="L22">
        <f>[4]Process_results_C1_E2!C2+Shredder!$K$2</f>
        <v/>
      </c>
      <c r="M22" s="4">
        <f>[4]Process_results_C1_E2!H2+Shredder!$L$2</f>
        <v/>
      </c>
      <c r="N22" s="4">
        <f>[4]Process_results_C1_E2!I2+Shredder!$M$2</f>
        <v/>
      </c>
      <c r="O22" s="4">
        <f>[4]Process_results_C1_E2!J2+Shredder!$N$2</f>
        <v/>
      </c>
      <c r="P22" s="4">
        <f>[4]Process_results_C1_E2!K2+Shredder!$O$2</f>
        <v/>
      </c>
      <c r="Q22" s="4">
        <f>[4]Process_results_C1_E2!L2+Shredder!$P$2</f>
        <v/>
      </c>
    </row>
    <row r="23">
      <c r="A23" t="inlineStr">
        <is>
          <t>Wash 2</t>
        </is>
      </c>
      <c r="B23" t="inlineStr">
        <is>
          <t>EVOH</t>
        </is>
      </c>
      <c r="C23" t="inlineStr">
        <is>
          <t>Diethanolamine</t>
        </is>
      </c>
      <c r="D23">
        <f>[4]Process_results_C1_E2!B3*Shredder!$B$2</f>
        <v/>
      </c>
      <c r="E23" t="n">
        <v>0</v>
      </c>
      <c r="F23">
        <f>L23</f>
        <v/>
      </c>
      <c r="G23" t="n">
        <v>0</v>
      </c>
      <c r="H23">
        <f>[4]Process_results_C1_E2!F3</f>
        <v/>
      </c>
      <c r="I23">
        <f>[4]Process_results_C1_E2!G3</f>
        <v/>
      </c>
      <c r="J23">
        <f>[4]Process_results_C1_E2!D3</f>
        <v/>
      </c>
      <c r="K23" t="n">
        <v>0</v>
      </c>
      <c r="L23">
        <f>[4]Process_results_C1_E2!C3+Shredder!$K$2</f>
        <v/>
      </c>
      <c r="M23" s="4">
        <f>[4]Process_results_C1_E2!H3+Shredder!$L$2</f>
        <v/>
      </c>
      <c r="N23" s="4">
        <f>[4]Process_results_C1_E2!I3+Shredder!$M$2</f>
        <v/>
      </c>
      <c r="O23" s="4">
        <f>[4]Process_results_C1_E2!J3+Shredder!$N$2</f>
        <v/>
      </c>
      <c r="P23" s="4">
        <f>[4]Process_results_C1_E2!K3+Shredder!$O$2</f>
        <v/>
      </c>
      <c r="Q23" s="4">
        <f>[4]Process_results_C1_E2!L3+Shredder!$P$2</f>
        <v/>
      </c>
    </row>
    <row r="24">
      <c r="A24" t="inlineStr">
        <is>
          <t>Wash 2</t>
        </is>
      </c>
      <c r="B24" t="inlineStr">
        <is>
          <t>EVOH</t>
        </is>
      </c>
      <c r="C24" t="inlineStr">
        <is>
          <t>Diethylene glycol</t>
        </is>
      </c>
      <c r="D24">
        <f>[4]Process_results_C1_E2!B4*Shredder!$B$2</f>
        <v/>
      </c>
      <c r="E24" t="n">
        <v>0</v>
      </c>
      <c r="F24">
        <f>L24</f>
        <v/>
      </c>
      <c r="G24" t="n">
        <v>0</v>
      </c>
      <c r="H24">
        <f>[4]Process_results_C1_E2!F4</f>
        <v/>
      </c>
      <c r="I24">
        <f>[4]Process_results_C1_E2!G4</f>
        <v/>
      </c>
      <c r="J24">
        <f>[4]Process_results_C1_E2!D4</f>
        <v/>
      </c>
      <c r="K24" t="n">
        <v>0</v>
      </c>
      <c r="L24">
        <f>[4]Process_results_C1_E2!C4+Shredder!$K$2</f>
        <v/>
      </c>
      <c r="M24" s="4">
        <f>[4]Process_results_C1_E2!H4+Shredder!$L$2</f>
        <v/>
      </c>
      <c r="N24" s="4">
        <f>[4]Process_results_C1_E2!I4+Shredder!$M$2</f>
        <v/>
      </c>
      <c r="O24" s="4">
        <f>[4]Process_results_C1_E2!J4+Shredder!$N$2</f>
        <v/>
      </c>
      <c r="P24" s="4">
        <f>[4]Process_results_C1_E2!K4+Shredder!$O$2</f>
        <v/>
      </c>
      <c r="Q24" s="4">
        <f>[4]Process_results_C1_E2!L4+Shredder!$P$2</f>
        <v/>
      </c>
    </row>
    <row r="25">
      <c r="A25" t="inlineStr">
        <is>
          <t>Wash 2</t>
        </is>
      </c>
      <c r="B25" t="inlineStr">
        <is>
          <t>EVOH</t>
        </is>
      </c>
      <c r="C25" t="inlineStr">
        <is>
          <t>Ethylene Glycol</t>
        </is>
      </c>
      <c r="D25">
        <f>[4]Process_results_C1_E2!B5*Shredder!$B$2</f>
        <v/>
      </c>
      <c r="E25" t="n">
        <v>0</v>
      </c>
      <c r="F25">
        <f>L25</f>
        <v/>
      </c>
      <c r="G25" t="n">
        <v>0</v>
      </c>
      <c r="H25">
        <f>[4]Process_results_C1_E2!F5</f>
        <v/>
      </c>
      <c r="I25">
        <f>[4]Process_results_C1_E2!G5</f>
        <v/>
      </c>
      <c r="J25">
        <f>[4]Process_results_C1_E2!D5</f>
        <v/>
      </c>
      <c r="K25" t="n">
        <v>0</v>
      </c>
      <c r="L25">
        <f>[4]Process_results_C1_E2!C5+Shredder!$K$2</f>
        <v/>
      </c>
      <c r="M25" s="4">
        <f>[4]Process_results_C1_E2!H5+Shredder!$L$2</f>
        <v/>
      </c>
      <c r="N25" s="4">
        <f>[4]Process_results_C1_E2!I5+Shredder!$M$2</f>
        <v/>
      </c>
      <c r="O25" s="4">
        <f>[4]Process_results_C1_E2!J5+Shredder!$N$2</f>
        <v/>
      </c>
      <c r="P25" s="4">
        <f>[4]Process_results_C1_E2!K5+Shredder!$O$2</f>
        <v/>
      </c>
      <c r="Q25" s="4">
        <f>[4]Process_results_C1_E2!L5+Shredder!$P$2</f>
        <v/>
      </c>
    </row>
    <row r="26">
      <c r="A26" t="inlineStr">
        <is>
          <t>Wash 2</t>
        </is>
      </c>
      <c r="B26" t="inlineStr">
        <is>
          <t>EVOH</t>
        </is>
      </c>
      <c r="C26" t="inlineStr">
        <is>
          <t>Propylene Glycol</t>
        </is>
      </c>
      <c r="D26">
        <f>[4]Process_results_C1_E2!B6*Shredder!$B$2</f>
        <v/>
      </c>
      <c r="E26" t="n">
        <v>0</v>
      </c>
      <c r="F26">
        <f>L26</f>
        <v/>
      </c>
      <c r="G26" t="n">
        <v>0</v>
      </c>
      <c r="H26">
        <f>[4]Process_results_C1_E2!F6</f>
        <v/>
      </c>
      <c r="I26">
        <f>[4]Process_results_C1_E2!G6</f>
        <v/>
      </c>
      <c r="J26">
        <f>[4]Process_results_C1_E2!D6</f>
        <v/>
      </c>
      <c r="K26" t="n">
        <v>0</v>
      </c>
      <c r="L26">
        <f>[4]Process_results_C1_E2!C6+Shredder!$K$2</f>
        <v/>
      </c>
      <c r="M26" s="4">
        <f>[4]Process_results_C1_E2!H6+Shredder!$L$2</f>
        <v/>
      </c>
      <c r="N26" s="4">
        <f>[4]Process_results_C1_E2!I6+Shredder!$M$2</f>
        <v/>
      </c>
      <c r="O26" s="4">
        <f>[4]Process_results_C1_E2!J6+Shredder!$N$2</f>
        <v/>
      </c>
      <c r="P26" s="4">
        <f>[4]Process_results_C1_E2!K6+Shredder!$O$2</f>
        <v/>
      </c>
      <c r="Q26" s="4">
        <f>[4]Process_results_C1_E2!L6+Shredder!$P$2</f>
        <v/>
      </c>
    </row>
    <row r="27">
      <c r="A27" t="inlineStr">
        <is>
          <t>Wash 2</t>
        </is>
      </c>
      <c r="B27" t="inlineStr">
        <is>
          <t>EVOH</t>
        </is>
      </c>
      <c r="C27" t="inlineStr">
        <is>
          <t>Pyridazine</t>
        </is>
      </c>
      <c r="D27">
        <f>[4]Process_results_C1_E2!B7*Shredder!$B$2</f>
        <v/>
      </c>
      <c r="E27" t="n">
        <v>0</v>
      </c>
      <c r="F27">
        <f>L27</f>
        <v/>
      </c>
      <c r="G27" t="n">
        <v>0</v>
      </c>
      <c r="H27">
        <f>[4]Process_results_C1_E2!F7</f>
        <v/>
      </c>
      <c r="I27">
        <f>[4]Process_results_C1_E2!G7</f>
        <v/>
      </c>
      <c r="J27">
        <f>[4]Process_results_C1_E2!D7</f>
        <v/>
      </c>
      <c r="K27" t="n">
        <v>0</v>
      </c>
      <c r="L27">
        <f>[4]Process_results_C1_E2!C7+Shredder!$K$2</f>
        <v/>
      </c>
      <c r="M27" s="4">
        <f>[4]Process_results_C1_E2!H7+Shredder!$L$2</f>
        <v/>
      </c>
      <c r="N27" s="4">
        <f>[4]Process_results_C1_E2!I7+Shredder!$M$2</f>
        <v/>
      </c>
      <c r="O27" s="4">
        <f>[4]Process_results_C1_E2!J7+Shredder!$N$2</f>
        <v/>
      </c>
      <c r="P27" s="4">
        <f>[4]Process_results_C1_E2!K7+Shredder!$O$2</f>
        <v/>
      </c>
      <c r="Q27" s="4">
        <f>[4]Process_results_C1_E2!L7+Shredder!$P$2</f>
        <v/>
      </c>
    </row>
    <row r="28">
      <c r="A28" t="inlineStr">
        <is>
          <t>Wash 2</t>
        </is>
      </c>
      <c r="B28" t="inlineStr">
        <is>
          <t>EVOH</t>
        </is>
      </c>
      <c r="C28" t="inlineStr">
        <is>
          <t>gamma-butyrolactone</t>
        </is>
      </c>
      <c r="D28">
        <f>[4]Process_results_C1_E2!B8*Shredder!$B$2</f>
        <v/>
      </c>
      <c r="E28" t="n">
        <v>0</v>
      </c>
      <c r="F28">
        <f>L28</f>
        <v/>
      </c>
      <c r="G28" t="n">
        <v>0</v>
      </c>
      <c r="H28">
        <f>[4]Process_results_C1_E2!F8</f>
        <v/>
      </c>
      <c r="I28">
        <f>[4]Process_results_C1_E2!G8</f>
        <v/>
      </c>
      <c r="J28">
        <f>[4]Process_results_C1_E2!D8</f>
        <v/>
      </c>
      <c r="K28" t="n">
        <v>0</v>
      </c>
      <c r="L28">
        <f>[4]Process_results_C1_E2!C8+Shredder!$K$2</f>
        <v/>
      </c>
      <c r="M28" s="4">
        <f>[4]Process_results_C1_E2!H8+Shredder!$L$2</f>
        <v/>
      </c>
      <c r="N28" s="4">
        <f>[4]Process_results_C1_E2!I8+Shredder!$M$2</f>
        <v/>
      </c>
      <c r="O28" s="4">
        <f>[4]Process_results_C1_E2!J8+Shredder!$N$2</f>
        <v/>
      </c>
      <c r="P28" s="4">
        <f>[4]Process_results_C1_E2!K8+Shredder!$O$2</f>
        <v/>
      </c>
      <c r="Q28" s="4">
        <f>[4]Process_results_C1_E2!L8+Shredder!$P$2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C1" sqref="C1:C1048576"/>
    </sheetView>
  </sheetViews>
  <sheetFormatPr baseColWidth="10" defaultRowHeight="16"/>
  <cols>
    <col width="14.33203125" customWidth="1" min="3" max="3"/>
    <col width="11.6640625" bestFit="1" customWidth="1" min="6" max="6"/>
    <col width="11.6640625" bestFit="1" customWidth="1" min="12" max="12"/>
  </cols>
  <sheetData>
    <row r="1" ht="187" customHeight="1">
      <c r="A1" s="10" t="inlineStr">
        <is>
          <t>Wash number</t>
        </is>
      </c>
      <c r="B1" s="10" t="inlineStr">
        <is>
          <t>Polymer</t>
        </is>
      </c>
      <c r="C1" s="10" t="inlineStr">
        <is>
          <t>Solvents</t>
        </is>
      </c>
      <c r="D1" s="10" t="inlineStr">
        <is>
          <t>Total Energy Consumed [MJ/yr]</t>
        </is>
      </c>
      <c r="E1" s="10" t="inlineStr">
        <is>
          <t>Total Renewable Energy Consumed [MJ/yr]</t>
        </is>
      </c>
      <c r="F1" s="10" t="inlineStr">
        <is>
          <t>Total Direct GHG emissions [Scope 1] [metric tons CO2 equivalent [tCO2e/yr]]</t>
        </is>
      </c>
      <c r="G1" s="10" t="inlineStr">
        <is>
          <t>Total Energy indirect GHG emissions (Scope 2) [metric tons CO2 equivalent (t CO2e/yr)]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Disposal[ton/yr]</t>
        </is>
      </c>
      <c r="L1" s="10" t="inlineStr">
        <is>
          <t>GWP [tonCO2e/yr]</t>
        </is>
      </c>
      <c r="M1" s="10" t="inlineStr">
        <is>
          <t>Human toxicity cancer [CTUh/yr]</t>
        </is>
      </c>
      <c r="N1" s="10" t="inlineStr">
        <is>
          <t>Human toxicity non-cancer [CTUh/yr]</t>
        </is>
      </c>
      <c r="O1" s="10" t="inlineStr">
        <is>
          <t>Ecotoxicity [CTUe/yr]</t>
        </is>
      </c>
      <c r="P1" s="10" t="inlineStr">
        <is>
          <t>CAPEX [USD/yr]</t>
        </is>
      </c>
      <c r="Q1" s="10" t="inlineStr">
        <is>
          <t>OPEX [USD/yr]</t>
        </is>
      </c>
      <c r="R1" s="1" t="n"/>
    </row>
    <row r="2" ht="34" customHeight="1">
      <c r="A2" t="inlineStr">
        <is>
          <t>Wash 1</t>
        </is>
      </c>
      <c r="B2" t="inlineStr">
        <is>
          <t>PE</t>
        </is>
      </c>
      <c r="C2" s="1" t="inlineStr">
        <is>
          <t>sec-Butyl Acetate</t>
        </is>
      </c>
      <c r="D2" s="1">
        <f>'Shared STRAP Scenario'!D2*'[1]New UBs'!$E$57</f>
        <v/>
      </c>
      <c r="E2" s="1">
        <f>'Shared STRAP Scenario'!E2*'[1]New UBs'!$E$57*0.12</f>
        <v/>
      </c>
      <c r="F2" s="1">
        <f>'Shared STRAP Scenario'!F2*'[1]New UBs'!$E$57/1000</f>
        <v/>
      </c>
      <c r="G2">
        <f>'Shared STRAP Scenario'!G2</f>
        <v/>
      </c>
      <c r="H2">
        <f>'Shared STRAP Scenario'!H2</f>
        <v/>
      </c>
      <c r="I2">
        <f>'Shared STRAP Scenario'!I2</f>
        <v/>
      </c>
      <c r="J2">
        <f>'Shared STRAP Scenario'!J2</f>
        <v/>
      </c>
      <c r="K2">
        <f>'Shared STRAP Scenario'!K2</f>
        <v/>
      </c>
      <c r="L2" s="1">
        <f>F2</f>
        <v/>
      </c>
      <c r="M2" s="14">
        <f>'Shared STRAP Scenario'!M2*'[1]New UBs'!$E$57</f>
        <v/>
      </c>
      <c r="N2" s="14">
        <f>'Shared STRAP Scenario'!N2*'[1]New UBs'!$E$57</f>
        <v/>
      </c>
      <c r="O2" s="14">
        <f>'Shared STRAP Scenario'!O2*'[1]New UBs'!$E$57</f>
        <v/>
      </c>
      <c r="P2">
        <f>'Shared STRAP Scenario'!P2/20</f>
        <v/>
      </c>
      <c r="Q2">
        <f>'Shared STRAP Scenario'!Q2</f>
        <v/>
      </c>
    </row>
    <row r="3" ht="17" customHeight="1">
      <c r="A3" t="inlineStr">
        <is>
          <t>Wash 1</t>
        </is>
      </c>
      <c r="B3" t="inlineStr">
        <is>
          <t>PE</t>
        </is>
      </c>
      <c r="C3" s="1" t="inlineStr">
        <is>
          <t>Isobutyl Acetate</t>
        </is>
      </c>
      <c r="D3" s="1">
        <f>'Shared STRAP Scenario'!D3*'[1]New UBs'!$E$57</f>
        <v/>
      </c>
      <c r="E3" s="1">
        <f>'Shared STRAP Scenario'!E3*'[1]New UBs'!$E$57*0.12</f>
        <v/>
      </c>
      <c r="F3" s="1">
        <f>'Shared STRAP Scenario'!F3*'[1]New UBs'!$E$57/1000</f>
        <v/>
      </c>
      <c r="G3">
        <f>'Shared STRAP Scenario'!G3</f>
        <v/>
      </c>
      <c r="H3">
        <f>'Shared STRAP Scenario'!H3</f>
        <v/>
      </c>
      <c r="I3">
        <f>'Shared STRAP Scenario'!I3</f>
        <v/>
      </c>
      <c r="J3">
        <f>'Shared STRAP Scenario'!J3</f>
        <v/>
      </c>
      <c r="K3">
        <f>'Shared STRAP Scenario'!K3</f>
        <v/>
      </c>
      <c r="L3" s="1">
        <f>F3</f>
        <v/>
      </c>
      <c r="M3" s="14">
        <f>'Shared STRAP Scenario'!M3*'[1]New UBs'!$E$57</f>
        <v/>
      </c>
      <c r="N3" s="14">
        <f>'Shared STRAP Scenario'!N3*'[1]New UBs'!$E$57</f>
        <v/>
      </c>
      <c r="O3" s="14">
        <f>'Shared STRAP Scenario'!O3*'[1]New UBs'!$E$57</f>
        <v/>
      </c>
      <c r="P3">
        <f>'Shared STRAP Scenario'!P3/20</f>
        <v/>
      </c>
      <c r="Q3">
        <f>'Shared STRAP Scenario'!Q3</f>
        <v/>
      </c>
    </row>
    <row r="4" ht="34" customHeight="1">
      <c r="A4" t="inlineStr">
        <is>
          <t>Wash 1</t>
        </is>
      </c>
      <c r="B4" t="inlineStr">
        <is>
          <t>PE</t>
        </is>
      </c>
      <c r="C4" s="1" t="inlineStr">
        <is>
          <t>Tetrachloroethylene</t>
        </is>
      </c>
      <c r="D4" s="1">
        <f>'Shared STRAP Scenario'!D4*'[1]New UBs'!$E$57</f>
        <v/>
      </c>
      <c r="E4" s="1">
        <f>'Shared STRAP Scenario'!E4*'[1]New UBs'!$E$57*0.12</f>
        <v/>
      </c>
      <c r="F4" s="1">
        <f>'Shared STRAP Scenario'!F4*'[1]New UBs'!$E$57/1000</f>
        <v/>
      </c>
      <c r="G4">
        <f>'Shared STRAP Scenario'!G4</f>
        <v/>
      </c>
      <c r="H4">
        <f>'Shared STRAP Scenario'!H4</f>
        <v/>
      </c>
      <c r="I4">
        <f>'Shared STRAP Scenario'!I4</f>
        <v/>
      </c>
      <c r="J4">
        <f>'Shared STRAP Scenario'!J4</f>
        <v/>
      </c>
      <c r="K4">
        <f>'Shared STRAP Scenario'!K4</f>
        <v/>
      </c>
      <c r="L4" s="1">
        <f>F4</f>
        <v/>
      </c>
      <c r="M4" s="14">
        <f>'Shared STRAP Scenario'!M4*'[1]New UBs'!$E$57</f>
        <v/>
      </c>
      <c r="N4" s="14">
        <f>'Shared STRAP Scenario'!N4*'[1]New UBs'!$E$57</f>
        <v/>
      </c>
      <c r="O4" s="14">
        <f>'Shared STRAP Scenario'!O4*'[1]New UBs'!$E$57</f>
        <v/>
      </c>
      <c r="P4">
        <f>'Shared STRAP Scenario'!P4/20</f>
        <v/>
      </c>
      <c r="Q4">
        <f>'Shared STRAP Scenario'!Q4</f>
        <v/>
      </c>
    </row>
    <row r="5" ht="17" customHeight="1">
      <c r="A5" t="inlineStr">
        <is>
          <t>Wash 1</t>
        </is>
      </c>
      <c r="B5" t="inlineStr">
        <is>
          <t>PE</t>
        </is>
      </c>
      <c r="C5" s="1" t="inlineStr">
        <is>
          <t>o-Chlorotoluene</t>
        </is>
      </c>
      <c r="D5" s="1">
        <f>'Shared STRAP Scenario'!D5*'[1]New UBs'!$E$57</f>
        <v/>
      </c>
      <c r="E5" s="1">
        <f>'Shared STRAP Scenario'!E5*'[1]New UBs'!$E$57*0.12</f>
        <v/>
      </c>
      <c r="F5" s="1">
        <f>'Shared STRAP Scenario'!F5*'[1]New UBs'!$E$57/1000</f>
        <v/>
      </c>
      <c r="G5">
        <f>'Shared STRAP Scenario'!G5</f>
        <v/>
      </c>
      <c r="H5">
        <f>'Shared STRAP Scenario'!H5</f>
        <v/>
      </c>
      <c r="I5">
        <f>'Shared STRAP Scenario'!I5</f>
        <v/>
      </c>
      <c r="J5">
        <f>'Shared STRAP Scenario'!J5</f>
        <v/>
      </c>
      <c r="K5">
        <f>'Shared STRAP Scenario'!K5</f>
        <v/>
      </c>
      <c r="L5" s="1">
        <f>F5</f>
        <v/>
      </c>
      <c r="M5" s="14">
        <f>'Shared STRAP Scenario'!M5*'[1]New UBs'!$E$57</f>
        <v/>
      </c>
      <c r="N5" s="14">
        <f>'Shared STRAP Scenario'!N5*'[1]New UBs'!$E$57</f>
        <v/>
      </c>
      <c r="O5" s="14">
        <f>'Shared STRAP Scenario'!O5*'[1]New UBs'!$E$57</f>
        <v/>
      </c>
      <c r="P5">
        <f>'Shared STRAP Scenario'!P5/20</f>
        <v/>
      </c>
      <c r="Q5">
        <f>'Shared STRAP Scenario'!Q5</f>
        <v/>
      </c>
    </row>
    <row r="6" ht="34" customHeight="1">
      <c r="A6" t="inlineStr">
        <is>
          <t>Wash 1</t>
        </is>
      </c>
      <c r="B6" t="inlineStr">
        <is>
          <t>PE</t>
        </is>
      </c>
      <c r="C6" s="1" t="inlineStr">
        <is>
          <t>Methylcyclohexane</t>
        </is>
      </c>
      <c r="D6" s="1">
        <f>'Shared STRAP Scenario'!D6*'[1]New UBs'!$E$57</f>
        <v/>
      </c>
      <c r="E6" s="1">
        <f>'Shared STRAP Scenario'!E6*'[1]New UBs'!$E$57*0.12</f>
        <v/>
      </c>
      <c r="F6" s="1">
        <f>'Shared STRAP Scenario'!F6*'[1]New UBs'!$E$57/1000</f>
        <v/>
      </c>
      <c r="G6">
        <f>'Shared STRAP Scenario'!G6</f>
        <v/>
      </c>
      <c r="H6">
        <f>'Shared STRAP Scenario'!H6</f>
        <v/>
      </c>
      <c r="I6">
        <f>'Shared STRAP Scenario'!I6</f>
        <v/>
      </c>
      <c r="J6">
        <f>'Shared STRAP Scenario'!J6</f>
        <v/>
      </c>
      <c r="K6">
        <f>'Shared STRAP Scenario'!K6</f>
        <v/>
      </c>
      <c r="L6" s="1">
        <f>F6</f>
        <v/>
      </c>
      <c r="M6" s="14">
        <f>'Shared STRAP Scenario'!M6*'[1]New UBs'!$E$57</f>
        <v/>
      </c>
      <c r="N6" s="14">
        <f>'Shared STRAP Scenario'!N6*'[1]New UBs'!$E$57</f>
        <v/>
      </c>
      <c r="O6" s="14">
        <f>'Shared STRAP Scenario'!O6*'[1]New UBs'!$E$57</f>
        <v/>
      </c>
      <c r="P6">
        <f>'Shared STRAP Scenario'!P6/20</f>
        <v/>
      </c>
      <c r="Q6">
        <f>'Shared STRAP Scenario'!Q6</f>
        <v/>
      </c>
    </row>
    <row r="7" ht="17" customHeight="1">
      <c r="A7" t="inlineStr">
        <is>
          <t>Wash 1</t>
        </is>
      </c>
      <c r="B7" t="inlineStr">
        <is>
          <t>PE</t>
        </is>
      </c>
      <c r="C7" s="1" t="inlineStr">
        <is>
          <t>Dodecanol</t>
        </is>
      </c>
      <c r="D7" s="1">
        <f>'Shared STRAP Scenario'!D7*'[1]New UBs'!$E$57</f>
        <v/>
      </c>
      <c r="E7" s="1">
        <f>'Shared STRAP Scenario'!E7*'[1]New UBs'!$E$57*0.12</f>
        <v/>
      </c>
      <c r="F7" s="1">
        <f>'Shared STRAP Scenario'!F7*'[1]New UBs'!$E$57/1000</f>
        <v/>
      </c>
      <c r="G7">
        <f>'Shared STRAP Scenario'!G7</f>
        <v/>
      </c>
      <c r="H7">
        <f>'Shared STRAP Scenario'!H7</f>
        <v/>
      </c>
      <c r="I7">
        <f>'Shared STRAP Scenario'!I7</f>
        <v/>
      </c>
      <c r="J7">
        <f>'Shared STRAP Scenario'!J7</f>
        <v/>
      </c>
      <c r="K7">
        <f>'Shared STRAP Scenario'!K7</f>
        <v/>
      </c>
      <c r="L7" s="1">
        <f>F7</f>
        <v/>
      </c>
      <c r="M7" s="14">
        <f>'Shared STRAP Scenario'!M7*'[1]New UBs'!$E$57</f>
        <v/>
      </c>
      <c r="N7" s="14">
        <f>'Shared STRAP Scenario'!N7*'[1]New UBs'!$E$57</f>
        <v/>
      </c>
      <c r="O7" s="14">
        <f>'Shared STRAP Scenario'!O7*'[1]New UBs'!$E$57</f>
        <v/>
      </c>
      <c r="P7">
        <f>'Shared STRAP Scenario'!P7/20</f>
        <v/>
      </c>
      <c r="Q7">
        <f>'Shared STRAP Scenario'!Q7</f>
        <v/>
      </c>
    </row>
    <row r="8" ht="17" customHeight="1">
      <c r="A8" t="inlineStr">
        <is>
          <t>Wash 1</t>
        </is>
      </c>
      <c r="B8" t="inlineStr">
        <is>
          <t>PE</t>
        </is>
      </c>
      <c r="C8" s="1" t="inlineStr">
        <is>
          <t>Heptane</t>
        </is>
      </c>
      <c r="D8" s="1">
        <f>'Shared STRAP Scenario'!D8*'[1]New UBs'!$E$57</f>
        <v/>
      </c>
      <c r="E8" s="1">
        <f>'Shared STRAP Scenario'!E8*'[1]New UBs'!$E$57*0.12</f>
        <v/>
      </c>
      <c r="F8" s="1">
        <f>'Shared STRAP Scenario'!F8*'[1]New UBs'!$E$57/1000</f>
        <v/>
      </c>
      <c r="G8">
        <f>'Shared STRAP Scenario'!G8</f>
        <v/>
      </c>
      <c r="H8">
        <f>'Shared STRAP Scenario'!H8</f>
        <v/>
      </c>
      <c r="I8">
        <f>'Shared STRAP Scenario'!I8</f>
        <v/>
      </c>
      <c r="J8">
        <f>'Shared STRAP Scenario'!J8</f>
        <v/>
      </c>
      <c r="K8">
        <f>'Shared STRAP Scenario'!K8</f>
        <v/>
      </c>
      <c r="L8" s="1">
        <f>F8</f>
        <v/>
      </c>
      <c r="M8" s="14">
        <f>'Shared STRAP Scenario'!M8*'[1]New UBs'!$E$57</f>
        <v/>
      </c>
      <c r="N8" s="14">
        <f>'Shared STRAP Scenario'!N8*'[1]New UBs'!$E$57</f>
        <v/>
      </c>
      <c r="O8" s="14">
        <f>'Shared STRAP Scenario'!O8*'[1]New UBs'!$E$57</f>
        <v/>
      </c>
      <c r="P8">
        <f>'Shared STRAP Scenario'!P8/20</f>
        <v/>
      </c>
      <c r="Q8">
        <f>'Shared STRAP Scenario'!Q8</f>
        <v/>
      </c>
    </row>
    <row r="9" ht="17" customHeight="1">
      <c r="A9" t="inlineStr">
        <is>
          <t>Wash 1</t>
        </is>
      </c>
      <c r="B9" t="inlineStr">
        <is>
          <t>PE</t>
        </is>
      </c>
      <c r="C9" s="1" t="inlineStr">
        <is>
          <t>Toluene</t>
        </is>
      </c>
      <c r="D9" s="1">
        <f>'Shared STRAP Scenario'!D9*'[1]New UBs'!$E$57</f>
        <v/>
      </c>
      <c r="E9" s="1">
        <f>'Shared STRAP Scenario'!E9*'[1]New UBs'!$E$57*0.12</f>
        <v/>
      </c>
      <c r="F9" s="1">
        <f>'Shared STRAP Scenario'!F9*'[1]New UBs'!$E$57/1000</f>
        <v/>
      </c>
      <c r="G9">
        <f>'Shared STRAP Scenario'!G9</f>
        <v/>
      </c>
      <c r="H9">
        <f>'Shared STRAP Scenario'!H9</f>
        <v/>
      </c>
      <c r="I9">
        <f>'Shared STRAP Scenario'!I9</f>
        <v/>
      </c>
      <c r="J9">
        <f>'Shared STRAP Scenario'!J9</f>
        <v/>
      </c>
      <c r="K9">
        <f>'Shared STRAP Scenario'!K9</f>
        <v/>
      </c>
      <c r="L9" s="1">
        <f>F9</f>
        <v/>
      </c>
      <c r="M9" s="14">
        <f>'Shared STRAP Scenario'!M9*'[1]New UBs'!$E$57</f>
        <v/>
      </c>
      <c r="N9" s="14">
        <f>'Shared STRAP Scenario'!N9*'[1]New UBs'!$E$57</f>
        <v/>
      </c>
      <c r="O9" s="14">
        <f>'Shared STRAP Scenario'!O9*'[1]New UBs'!$E$57</f>
        <v/>
      </c>
      <c r="P9">
        <f>'Shared STRAP Scenario'!P9/20</f>
        <v/>
      </c>
      <c r="Q9">
        <f>'Shared STRAP Scenario'!Q9</f>
        <v/>
      </c>
    </row>
    <row r="10" ht="17" customHeight="1">
      <c r="A10" t="inlineStr">
        <is>
          <t>Wash 1</t>
        </is>
      </c>
      <c r="B10" t="inlineStr">
        <is>
          <t>PE</t>
        </is>
      </c>
      <c r="C10" s="1" t="inlineStr">
        <is>
          <t>Xylene</t>
        </is>
      </c>
      <c r="D10" s="1">
        <f>'Shared STRAP Scenario'!D10*'[1]New UBs'!$E$57</f>
        <v/>
      </c>
      <c r="E10" s="1">
        <f>'Shared STRAP Scenario'!E10*'[1]New UBs'!$E$57*0.12</f>
        <v/>
      </c>
      <c r="F10" s="1">
        <f>'Shared STRAP Scenario'!F10*'[1]New UBs'!$E$57/1000</f>
        <v/>
      </c>
      <c r="G10">
        <f>'Shared STRAP Scenario'!G10</f>
        <v/>
      </c>
      <c r="H10">
        <f>'Shared STRAP Scenario'!H10</f>
        <v/>
      </c>
      <c r="I10">
        <f>'Shared STRAP Scenario'!I10</f>
        <v/>
      </c>
      <c r="J10">
        <f>'Shared STRAP Scenario'!J10</f>
        <v/>
      </c>
      <c r="K10">
        <f>'Shared STRAP Scenario'!K10</f>
        <v/>
      </c>
      <c r="L10" s="1">
        <f>F10</f>
        <v/>
      </c>
      <c r="M10" s="14">
        <f>'Shared STRAP Scenario'!M10*'[1]New UBs'!$E$57</f>
        <v/>
      </c>
      <c r="N10" s="14">
        <f>'Shared STRAP Scenario'!N10*'[1]New UBs'!$E$57</f>
        <v/>
      </c>
      <c r="O10" s="14">
        <f>'Shared STRAP Scenario'!O10*'[1]New UBs'!$E$57</f>
        <v/>
      </c>
      <c r="P10">
        <f>'Shared STRAP Scenario'!P10/20</f>
        <v/>
      </c>
      <c r="Q10">
        <f>'Shared STRAP Scenario'!Q10</f>
        <v/>
      </c>
    </row>
    <row r="11">
      <c r="A11" t="inlineStr">
        <is>
          <t>Wash 1</t>
        </is>
      </c>
      <c r="B11" t="inlineStr">
        <is>
          <t>EVOH</t>
        </is>
      </c>
      <c r="C11">
        <f>[5]Process_results_C2_E1!$A$2</f>
        <v/>
      </c>
      <c r="D11" s="1">
        <f>'Shared STRAP Scenario'!D11*'[1]New UBs'!$E$58</f>
        <v/>
      </c>
      <c r="E11" s="1">
        <f>'Shared STRAP Scenario'!E11*'[1]New UBs'!$E$58*0.12</f>
        <v/>
      </c>
      <c r="F11" s="1">
        <f>'Shared STRAP Scenario'!F11*'[1]New UBs'!$E$58/1000</f>
        <v/>
      </c>
      <c r="G11">
        <f>'Shared STRAP Scenario'!G11</f>
        <v/>
      </c>
      <c r="H11">
        <f>'Shared STRAP Scenario'!H11</f>
        <v/>
      </c>
      <c r="I11">
        <f>'Shared STRAP Scenario'!I11</f>
        <v/>
      </c>
      <c r="J11">
        <f>'Shared STRAP Scenario'!J11</f>
        <v/>
      </c>
      <c r="K11">
        <f>'Shared STRAP Scenario'!K11</f>
        <v/>
      </c>
      <c r="L11" s="1">
        <f>F11</f>
        <v/>
      </c>
      <c r="M11" s="14">
        <f>'Shared STRAP Scenario'!M11*'[1]New UBs'!$E$58</f>
        <v/>
      </c>
      <c r="N11" s="14">
        <f>'Shared STRAP Scenario'!N11*'[1]New UBs'!$E$58</f>
        <v/>
      </c>
      <c r="O11" s="14">
        <f>'Shared STRAP Scenario'!O11*'[1]New UBs'!$E$58</f>
        <v/>
      </c>
      <c r="P11">
        <f>'Shared STRAP Scenario'!P11/20</f>
        <v/>
      </c>
      <c r="Q11">
        <f>'Shared STRAP Scenario'!Q11</f>
        <v/>
      </c>
    </row>
    <row r="12">
      <c r="A12" t="inlineStr">
        <is>
          <t>Wash 1</t>
        </is>
      </c>
      <c r="B12" t="inlineStr">
        <is>
          <t>EVOH</t>
        </is>
      </c>
      <c r="C12" t="inlineStr">
        <is>
          <t>Pyridazine</t>
        </is>
      </c>
      <c r="D12" s="1">
        <f>'Shared STRAP Scenario'!D12*'[1]New UBs'!$E$58</f>
        <v/>
      </c>
      <c r="E12" s="1">
        <f>'Shared STRAP Scenario'!E12*'[1]New UBs'!$E$58*0.12</f>
        <v/>
      </c>
      <c r="F12" s="1">
        <f>'Shared STRAP Scenario'!F12*'[1]New UBs'!$E$58/1000</f>
        <v/>
      </c>
      <c r="G12">
        <f>'Shared STRAP Scenario'!G12</f>
        <v/>
      </c>
      <c r="H12">
        <f>'Shared STRAP Scenario'!H12</f>
        <v/>
      </c>
      <c r="I12">
        <f>'Shared STRAP Scenario'!I12</f>
        <v/>
      </c>
      <c r="J12">
        <f>'Shared STRAP Scenario'!J12</f>
        <v/>
      </c>
      <c r="K12">
        <f>'Shared STRAP Scenario'!K12</f>
        <v/>
      </c>
      <c r="L12" s="1">
        <f>F12</f>
        <v/>
      </c>
      <c r="M12" s="14">
        <f>'Shared STRAP Scenario'!M12*'[1]New UBs'!$E$58</f>
        <v/>
      </c>
      <c r="N12" s="14">
        <f>'Shared STRAP Scenario'!N12*'[1]New UBs'!$E$58</f>
        <v/>
      </c>
      <c r="O12" s="14">
        <f>'Shared STRAP Scenario'!O12*'[1]New UBs'!$E$58</f>
        <v/>
      </c>
      <c r="P12">
        <f>'Shared STRAP Scenario'!P12/20</f>
        <v/>
      </c>
      <c r="Q12">
        <f>'Shared STRAP Scenario'!Q12</f>
        <v/>
      </c>
    </row>
    <row r="13" ht="34" customHeight="1">
      <c r="A13" t="inlineStr">
        <is>
          <t>Wash 2</t>
        </is>
      </c>
      <c r="B13" t="inlineStr">
        <is>
          <t>PE</t>
        </is>
      </c>
      <c r="C13" s="1" t="inlineStr">
        <is>
          <t>sec-Butyl Acetate</t>
        </is>
      </c>
      <c r="D13" s="1">
        <f>'Shared STRAP Scenario'!D13*'[1]New UBs'!$J$58</f>
        <v/>
      </c>
      <c r="E13" s="1">
        <f>'Shared STRAP Scenario'!E13*'[1]New UBs'!$J$58*0.12</f>
        <v/>
      </c>
      <c r="F13" s="1">
        <f>'Shared STRAP Scenario'!F13*'[1]New UBs'!$J$58/1000</f>
        <v/>
      </c>
      <c r="G13">
        <f>'Shared STRAP Scenario'!G13</f>
        <v/>
      </c>
      <c r="H13">
        <f>'Shared STRAP Scenario'!H13</f>
        <v/>
      </c>
      <c r="I13">
        <f>'Shared STRAP Scenario'!I13</f>
        <v/>
      </c>
      <c r="J13">
        <f>'Shared STRAP Scenario'!J13</f>
        <v/>
      </c>
      <c r="K13">
        <f>'Shared STRAP Scenario'!K13</f>
        <v/>
      </c>
      <c r="L13" s="1">
        <f>F13</f>
        <v/>
      </c>
      <c r="M13" s="14">
        <f>'Shared STRAP Scenario'!M13*'[1]New UBs'!$J$58</f>
        <v/>
      </c>
      <c r="N13" s="14">
        <f>'Shared STRAP Scenario'!N13*'[1]New UBs'!$J$58</f>
        <v/>
      </c>
      <c r="O13" s="14">
        <f>'Shared STRAP Scenario'!O13*'[1]New UBs'!$J$58</f>
        <v/>
      </c>
      <c r="P13">
        <f>'Shared STRAP Scenario'!P13/20</f>
        <v/>
      </c>
      <c r="Q13">
        <f>'Shared STRAP Scenario'!Q13</f>
        <v/>
      </c>
    </row>
    <row r="14" ht="17" customHeight="1">
      <c r="A14" t="inlineStr">
        <is>
          <t>Wash 2</t>
        </is>
      </c>
      <c r="B14" t="inlineStr">
        <is>
          <t>PE</t>
        </is>
      </c>
      <c r="C14" s="1" t="inlineStr">
        <is>
          <t>Isobutyl Acetate</t>
        </is>
      </c>
      <c r="D14" s="1">
        <f>'Shared STRAP Scenario'!D14*'[1]New UBs'!$J$58</f>
        <v/>
      </c>
      <c r="E14" s="1">
        <f>'Shared STRAP Scenario'!E14*'[1]New UBs'!$J$58*0.12</f>
        <v/>
      </c>
      <c r="F14" s="1">
        <f>'Shared STRAP Scenario'!F14*'[1]New UBs'!$J$58/1000</f>
        <v/>
      </c>
      <c r="G14">
        <f>'Shared STRAP Scenario'!G14</f>
        <v/>
      </c>
      <c r="H14">
        <f>'Shared STRAP Scenario'!H14</f>
        <v/>
      </c>
      <c r="I14">
        <f>'Shared STRAP Scenario'!I14</f>
        <v/>
      </c>
      <c r="J14">
        <f>'Shared STRAP Scenario'!J14</f>
        <v/>
      </c>
      <c r="K14">
        <f>'Shared STRAP Scenario'!K14</f>
        <v/>
      </c>
      <c r="L14" s="1">
        <f>F14</f>
        <v/>
      </c>
      <c r="M14" s="14">
        <f>'Shared STRAP Scenario'!M14*'[1]New UBs'!$J$58</f>
        <v/>
      </c>
      <c r="N14" s="14">
        <f>'Shared STRAP Scenario'!N14*'[1]New UBs'!$J$58</f>
        <v/>
      </c>
      <c r="O14" s="14">
        <f>'Shared STRAP Scenario'!O14*'[1]New UBs'!$J$58</f>
        <v/>
      </c>
      <c r="P14">
        <f>'Shared STRAP Scenario'!P14/20</f>
        <v/>
      </c>
      <c r="Q14">
        <f>'Shared STRAP Scenario'!Q14</f>
        <v/>
      </c>
    </row>
    <row r="15" ht="34" customHeight="1">
      <c r="A15" t="inlineStr">
        <is>
          <t>Wash 2</t>
        </is>
      </c>
      <c r="B15" t="inlineStr">
        <is>
          <t>PE</t>
        </is>
      </c>
      <c r="C15" s="1" t="inlineStr">
        <is>
          <t>Tetrachloroethylene</t>
        </is>
      </c>
      <c r="D15" s="1">
        <f>'Shared STRAP Scenario'!D15*'[1]New UBs'!$J$58</f>
        <v/>
      </c>
      <c r="E15" s="1">
        <f>'Shared STRAP Scenario'!E15*'[1]New UBs'!$J$58*0.12</f>
        <v/>
      </c>
      <c r="F15" s="1">
        <f>'Shared STRAP Scenario'!F15*'[1]New UBs'!$J$58/1000</f>
        <v/>
      </c>
      <c r="G15">
        <f>'Shared STRAP Scenario'!G15</f>
        <v/>
      </c>
      <c r="H15">
        <f>'Shared STRAP Scenario'!H15</f>
        <v/>
      </c>
      <c r="I15">
        <f>'Shared STRAP Scenario'!I15</f>
        <v/>
      </c>
      <c r="J15">
        <f>'Shared STRAP Scenario'!J15</f>
        <v/>
      </c>
      <c r="K15">
        <f>'Shared STRAP Scenario'!K15</f>
        <v/>
      </c>
      <c r="L15" s="1">
        <f>F15</f>
        <v/>
      </c>
      <c r="M15" s="14">
        <f>'Shared STRAP Scenario'!M15*'[1]New UBs'!$J$58</f>
        <v/>
      </c>
      <c r="N15" s="14">
        <f>'Shared STRAP Scenario'!N15*'[1]New UBs'!$J$58</f>
        <v/>
      </c>
      <c r="O15" s="14">
        <f>'Shared STRAP Scenario'!O15*'[1]New UBs'!$J$58</f>
        <v/>
      </c>
      <c r="P15">
        <f>'Shared STRAP Scenario'!P15/20</f>
        <v/>
      </c>
      <c r="Q15">
        <f>'Shared STRAP Scenario'!Q15</f>
        <v/>
      </c>
    </row>
    <row r="16" ht="17" customHeight="1">
      <c r="A16" t="inlineStr">
        <is>
          <t>Wash 2</t>
        </is>
      </c>
      <c r="B16" t="inlineStr">
        <is>
          <t>PE</t>
        </is>
      </c>
      <c r="C16" s="1" t="inlineStr">
        <is>
          <t>o-Chlorotoluene</t>
        </is>
      </c>
      <c r="D16" s="1">
        <f>'Shared STRAP Scenario'!D16*'[1]New UBs'!$J$58</f>
        <v/>
      </c>
      <c r="E16" s="1">
        <f>'Shared STRAP Scenario'!E16*'[1]New UBs'!$J$58*0.12</f>
        <v/>
      </c>
      <c r="F16" s="1">
        <f>'Shared STRAP Scenario'!F16*'[1]New UBs'!$J$58/1000</f>
        <v/>
      </c>
      <c r="G16">
        <f>'Shared STRAP Scenario'!G16</f>
        <v/>
      </c>
      <c r="H16">
        <f>'Shared STRAP Scenario'!H16</f>
        <v/>
      </c>
      <c r="I16">
        <f>'Shared STRAP Scenario'!I16</f>
        <v/>
      </c>
      <c r="J16">
        <f>'Shared STRAP Scenario'!J16</f>
        <v/>
      </c>
      <c r="K16">
        <f>'Shared STRAP Scenario'!K16</f>
        <v/>
      </c>
      <c r="L16" s="1">
        <f>F16</f>
        <v/>
      </c>
      <c r="M16" s="14">
        <f>'Shared STRAP Scenario'!M16*'[1]New UBs'!$J$58</f>
        <v/>
      </c>
      <c r="N16" s="14">
        <f>'Shared STRAP Scenario'!N16*'[1]New UBs'!$J$58</f>
        <v/>
      </c>
      <c r="O16" s="14">
        <f>'Shared STRAP Scenario'!O16*'[1]New UBs'!$J$58</f>
        <v/>
      </c>
      <c r="P16">
        <f>'Shared STRAP Scenario'!P16/20</f>
        <v/>
      </c>
      <c r="Q16">
        <f>'Shared STRAP Scenario'!Q16</f>
        <v/>
      </c>
    </row>
    <row r="17" ht="34" customHeight="1">
      <c r="A17" t="inlineStr">
        <is>
          <t>Wash 2</t>
        </is>
      </c>
      <c r="B17" t="inlineStr">
        <is>
          <t>PE</t>
        </is>
      </c>
      <c r="C17" s="1" t="inlineStr">
        <is>
          <t>Methylcyclohexane</t>
        </is>
      </c>
      <c r="D17" s="1">
        <f>'Shared STRAP Scenario'!D17*'[1]New UBs'!$J$58</f>
        <v/>
      </c>
      <c r="E17" s="1">
        <f>'Shared STRAP Scenario'!E17*'[1]New UBs'!$J$58*0.12</f>
        <v/>
      </c>
      <c r="F17" s="1">
        <f>'Shared STRAP Scenario'!F17*'[1]New UBs'!$J$58/1000</f>
        <v/>
      </c>
      <c r="G17">
        <f>'Shared STRAP Scenario'!G17</f>
        <v/>
      </c>
      <c r="H17">
        <f>'Shared STRAP Scenario'!H17</f>
        <v/>
      </c>
      <c r="I17">
        <f>'Shared STRAP Scenario'!I17</f>
        <v/>
      </c>
      <c r="J17">
        <f>'Shared STRAP Scenario'!J17</f>
        <v/>
      </c>
      <c r="K17">
        <f>'Shared STRAP Scenario'!K17</f>
        <v/>
      </c>
      <c r="L17" s="1">
        <f>F17</f>
        <v/>
      </c>
      <c r="M17" s="14">
        <f>'Shared STRAP Scenario'!M17*'[1]New UBs'!$J$58</f>
        <v/>
      </c>
      <c r="N17" s="14">
        <f>'Shared STRAP Scenario'!N17*'[1]New UBs'!$J$58</f>
        <v/>
      </c>
      <c r="O17" s="14">
        <f>'Shared STRAP Scenario'!O17*'[1]New UBs'!$J$58</f>
        <v/>
      </c>
      <c r="P17">
        <f>'Shared STRAP Scenario'!P17/20</f>
        <v/>
      </c>
      <c r="Q17">
        <f>'Shared STRAP Scenario'!Q17</f>
        <v/>
      </c>
    </row>
    <row r="18" ht="17" customHeight="1">
      <c r="A18" t="inlineStr">
        <is>
          <t>Wash 2</t>
        </is>
      </c>
      <c r="B18" t="inlineStr">
        <is>
          <t>PE</t>
        </is>
      </c>
      <c r="C18" s="1" t="inlineStr">
        <is>
          <t>Dodecanol</t>
        </is>
      </c>
      <c r="D18" s="1">
        <f>'Shared STRAP Scenario'!D18*'[1]New UBs'!$J$58</f>
        <v/>
      </c>
      <c r="E18" s="1">
        <f>'Shared STRAP Scenario'!E18*'[1]New UBs'!$J$58*0.12</f>
        <v/>
      </c>
      <c r="F18" s="1">
        <f>'Shared STRAP Scenario'!F18*'[1]New UBs'!$J$58/1000</f>
        <v/>
      </c>
      <c r="G18">
        <f>'Shared STRAP Scenario'!G18</f>
        <v/>
      </c>
      <c r="H18">
        <f>'Shared STRAP Scenario'!H18</f>
        <v/>
      </c>
      <c r="I18">
        <f>'Shared STRAP Scenario'!I18</f>
        <v/>
      </c>
      <c r="J18">
        <f>'Shared STRAP Scenario'!J18</f>
        <v/>
      </c>
      <c r="K18">
        <f>'Shared STRAP Scenario'!K18</f>
        <v/>
      </c>
      <c r="L18" s="1">
        <f>F18</f>
        <v/>
      </c>
      <c r="M18" s="14">
        <f>'Shared STRAP Scenario'!M18*'[1]New UBs'!$J$58</f>
        <v/>
      </c>
      <c r="N18" s="14">
        <f>'Shared STRAP Scenario'!N18*'[1]New UBs'!$J$58</f>
        <v/>
      </c>
      <c r="O18" s="14">
        <f>'Shared STRAP Scenario'!O18*'[1]New UBs'!$J$58</f>
        <v/>
      </c>
      <c r="P18">
        <f>'Shared STRAP Scenario'!P18/20</f>
        <v/>
      </c>
      <c r="Q18">
        <f>'Shared STRAP Scenario'!Q18</f>
        <v/>
      </c>
    </row>
    <row r="19" ht="17" customHeight="1">
      <c r="A19" t="inlineStr">
        <is>
          <t>Wash 2</t>
        </is>
      </c>
      <c r="B19" t="inlineStr">
        <is>
          <t>PE</t>
        </is>
      </c>
      <c r="C19" s="1" t="inlineStr">
        <is>
          <t>Heptane</t>
        </is>
      </c>
      <c r="D19" s="1">
        <f>'Shared STRAP Scenario'!D19*'[1]New UBs'!$J$58</f>
        <v/>
      </c>
      <c r="E19" s="1">
        <f>'Shared STRAP Scenario'!E19*'[1]New UBs'!$J$58*0.12</f>
        <v/>
      </c>
      <c r="F19" s="1">
        <f>'Shared STRAP Scenario'!F19*'[1]New UBs'!$J$58/1000</f>
        <v/>
      </c>
      <c r="G19">
        <f>'Shared STRAP Scenario'!G19</f>
        <v/>
      </c>
      <c r="H19">
        <f>'Shared STRAP Scenario'!H19</f>
        <v/>
      </c>
      <c r="I19">
        <f>'Shared STRAP Scenario'!I19</f>
        <v/>
      </c>
      <c r="J19">
        <f>'Shared STRAP Scenario'!J19</f>
        <v/>
      </c>
      <c r="K19">
        <f>'Shared STRAP Scenario'!K19</f>
        <v/>
      </c>
      <c r="L19" s="1">
        <f>F19</f>
        <v/>
      </c>
      <c r="M19" s="14">
        <f>'Shared STRAP Scenario'!M19*'[1]New UBs'!$J$58</f>
        <v/>
      </c>
      <c r="N19" s="14">
        <f>'Shared STRAP Scenario'!N19*'[1]New UBs'!$J$58</f>
        <v/>
      </c>
      <c r="O19" s="14">
        <f>'Shared STRAP Scenario'!O19*'[1]New UBs'!$J$58</f>
        <v/>
      </c>
      <c r="P19">
        <f>'Shared STRAP Scenario'!P19/20</f>
        <v/>
      </c>
      <c r="Q19">
        <f>'Shared STRAP Scenario'!Q19</f>
        <v/>
      </c>
    </row>
    <row r="20" ht="17" customHeight="1">
      <c r="A20" t="inlineStr">
        <is>
          <t>Wash 2</t>
        </is>
      </c>
      <c r="B20" t="inlineStr">
        <is>
          <t>PE</t>
        </is>
      </c>
      <c r="C20" s="1" t="inlineStr">
        <is>
          <t>Toluene</t>
        </is>
      </c>
      <c r="D20" s="1">
        <f>'Shared STRAP Scenario'!D20*'[1]New UBs'!$J$58</f>
        <v/>
      </c>
      <c r="E20" s="1">
        <f>'Shared STRAP Scenario'!E20*'[1]New UBs'!$J$58*0.12</f>
        <v/>
      </c>
      <c r="F20" s="1">
        <f>'Shared STRAP Scenario'!F20*'[1]New UBs'!$J$58/1000</f>
        <v/>
      </c>
      <c r="G20">
        <f>'Shared STRAP Scenario'!G20</f>
        <v/>
      </c>
      <c r="H20">
        <f>'Shared STRAP Scenario'!H20</f>
        <v/>
      </c>
      <c r="I20">
        <f>'Shared STRAP Scenario'!I20</f>
        <v/>
      </c>
      <c r="J20">
        <f>'Shared STRAP Scenario'!J20</f>
        <v/>
      </c>
      <c r="K20">
        <f>'Shared STRAP Scenario'!K20</f>
        <v/>
      </c>
      <c r="L20" s="1">
        <f>F20</f>
        <v/>
      </c>
      <c r="M20" s="14">
        <f>'Shared STRAP Scenario'!M20*'[1]New UBs'!$J$58</f>
        <v/>
      </c>
      <c r="N20" s="14">
        <f>'Shared STRAP Scenario'!N20*'[1]New UBs'!$J$58</f>
        <v/>
      </c>
      <c r="O20" s="14">
        <f>'Shared STRAP Scenario'!O20*'[1]New UBs'!$J$58</f>
        <v/>
      </c>
      <c r="P20">
        <f>'Shared STRAP Scenario'!P20/20</f>
        <v/>
      </c>
      <c r="Q20">
        <f>'Shared STRAP Scenario'!Q20</f>
        <v/>
      </c>
    </row>
    <row r="21" ht="17" customHeight="1">
      <c r="A21" t="inlineStr">
        <is>
          <t>Wash 2</t>
        </is>
      </c>
      <c r="B21" t="inlineStr">
        <is>
          <t>PE</t>
        </is>
      </c>
      <c r="C21" s="1" t="inlineStr">
        <is>
          <t>Xylene</t>
        </is>
      </c>
      <c r="D21" s="1">
        <f>'Shared STRAP Scenario'!D21*'[1]New UBs'!$J$58</f>
        <v/>
      </c>
      <c r="E21" s="1">
        <f>'Shared STRAP Scenario'!E21*'[1]New UBs'!$J$58*0.12</f>
        <v/>
      </c>
      <c r="F21" s="1">
        <f>'Shared STRAP Scenario'!F21*'[1]New UBs'!$J$58/1000</f>
        <v/>
      </c>
      <c r="G21">
        <f>'Shared STRAP Scenario'!G21</f>
        <v/>
      </c>
      <c r="H21">
        <f>'Shared STRAP Scenario'!H21</f>
        <v/>
      </c>
      <c r="I21">
        <f>'Shared STRAP Scenario'!I21</f>
        <v/>
      </c>
      <c r="J21">
        <f>'Shared STRAP Scenario'!J21</f>
        <v/>
      </c>
      <c r="K21">
        <f>'Shared STRAP Scenario'!K21</f>
        <v/>
      </c>
      <c r="L21" s="1">
        <f>F21</f>
        <v/>
      </c>
      <c r="M21" s="14">
        <f>'Shared STRAP Scenario'!M21*'[1]New UBs'!$J$58</f>
        <v/>
      </c>
      <c r="N21" s="14">
        <f>'Shared STRAP Scenario'!N21*'[1]New UBs'!$J$58</f>
        <v/>
      </c>
      <c r="O21" s="14">
        <f>'Shared STRAP Scenario'!O21*'[1]New UBs'!$J$58</f>
        <v/>
      </c>
      <c r="P21">
        <f>'Shared STRAP Scenario'!P21/20</f>
        <v/>
      </c>
      <c r="Q21">
        <f>'Shared STRAP Scenario'!Q21</f>
        <v/>
      </c>
    </row>
    <row r="22" ht="17" customHeight="1">
      <c r="A22" t="inlineStr">
        <is>
          <t>Wash 2</t>
        </is>
      </c>
      <c r="B22" t="inlineStr">
        <is>
          <t>EVOH</t>
        </is>
      </c>
      <c r="C22" s="1" t="inlineStr">
        <is>
          <t>butane-1,4-diol</t>
        </is>
      </c>
      <c r="D22" s="1">
        <f>'Shared STRAP Scenario'!D22*'[1]New UBs'!$J$57</f>
        <v/>
      </c>
      <c r="E22" s="1">
        <f>'Shared STRAP Scenario'!E22*'[1]New UBs'!$J$57*0.12</f>
        <v/>
      </c>
      <c r="F22" s="1">
        <f>'Shared STRAP Scenario'!F22*'[1]New UBs'!$J$57/1000</f>
        <v/>
      </c>
      <c r="G22">
        <f>'Shared STRAP Scenario'!G22</f>
        <v/>
      </c>
      <c r="H22">
        <f>'Shared STRAP Scenario'!H22</f>
        <v/>
      </c>
      <c r="I22">
        <f>'Shared STRAP Scenario'!I22</f>
        <v/>
      </c>
      <c r="J22">
        <f>'Shared STRAP Scenario'!J22</f>
        <v/>
      </c>
      <c r="K22">
        <f>'Shared STRAP Scenario'!K22</f>
        <v/>
      </c>
      <c r="L22" s="1">
        <f>F22</f>
        <v/>
      </c>
      <c r="M22" s="14">
        <f>'Shared STRAP Scenario'!M22*'[1]New UBs'!$J$57</f>
        <v/>
      </c>
      <c r="N22" s="14">
        <f>'Shared STRAP Scenario'!N22*'[1]New UBs'!$J$57</f>
        <v/>
      </c>
      <c r="O22" s="14">
        <f>'Shared STRAP Scenario'!O22*'[1]New UBs'!$J$57</f>
        <v/>
      </c>
      <c r="P22">
        <f>'Shared STRAP Scenario'!P22/20</f>
        <v/>
      </c>
      <c r="Q22">
        <f>'Shared STRAP Scenario'!Q22</f>
        <v/>
      </c>
    </row>
    <row r="23" ht="17" customHeight="1">
      <c r="A23" t="inlineStr">
        <is>
          <t>Wash 2</t>
        </is>
      </c>
      <c r="B23" t="inlineStr">
        <is>
          <t>EVOH</t>
        </is>
      </c>
      <c r="C23" s="1" t="inlineStr">
        <is>
          <t>Diethanolamine</t>
        </is>
      </c>
      <c r="D23" s="1">
        <f>'Shared STRAP Scenario'!D23*'[1]New UBs'!$J$57</f>
        <v/>
      </c>
      <c r="E23" s="1">
        <f>'Shared STRAP Scenario'!E23*'[1]New UBs'!$J$57*0.12</f>
        <v/>
      </c>
      <c r="F23" s="1">
        <f>'Shared STRAP Scenario'!F23*'[1]New UBs'!$J$57/1000</f>
        <v/>
      </c>
      <c r="G23">
        <f>'Shared STRAP Scenario'!G23</f>
        <v/>
      </c>
      <c r="H23">
        <f>'Shared STRAP Scenario'!H23</f>
        <v/>
      </c>
      <c r="I23">
        <f>'Shared STRAP Scenario'!I23</f>
        <v/>
      </c>
      <c r="J23">
        <f>'Shared STRAP Scenario'!J23</f>
        <v/>
      </c>
      <c r="K23">
        <f>'Shared STRAP Scenario'!K23</f>
        <v/>
      </c>
      <c r="L23" s="1">
        <f>F23</f>
        <v/>
      </c>
      <c r="M23" s="14">
        <f>'Shared STRAP Scenario'!M23*'[1]New UBs'!$J$57</f>
        <v/>
      </c>
      <c r="N23" s="14">
        <f>'Shared STRAP Scenario'!N23*'[1]New UBs'!$J$57</f>
        <v/>
      </c>
      <c r="O23" s="14">
        <f>'Shared STRAP Scenario'!O23*'[1]New UBs'!$J$57</f>
        <v/>
      </c>
      <c r="P23">
        <f>'Shared STRAP Scenario'!P23/20</f>
        <v/>
      </c>
      <c r="Q23">
        <f>'Shared STRAP Scenario'!Q23</f>
        <v/>
      </c>
    </row>
    <row r="24" ht="34" customHeight="1">
      <c r="A24" t="inlineStr">
        <is>
          <t>Wash 2</t>
        </is>
      </c>
      <c r="B24" t="inlineStr">
        <is>
          <t>EVOH</t>
        </is>
      </c>
      <c r="C24" s="1" t="inlineStr">
        <is>
          <t>Diethylene glycol</t>
        </is>
      </c>
      <c r="D24" s="1">
        <f>'Shared STRAP Scenario'!D24*'[1]New UBs'!$J$57</f>
        <v/>
      </c>
      <c r="E24" s="1">
        <f>'Shared STRAP Scenario'!E24*'[1]New UBs'!$J$57*0.12</f>
        <v/>
      </c>
      <c r="F24" s="1">
        <f>'Shared STRAP Scenario'!F24*'[1]New UBs'!$J$57/1000</f>
        <v/>
      </c>
      <c r="G24">
        <f>'Shared STRAP Scenario'!G24</f>
        <v/>
      </c>
      <c r="H24">
        <f>'Shared STRAP Scenario'!H24</f>
        <v/>
      </c>
      <c r="I24">
        <f>'Shared STRAP Scenario'!I24</f>
        <v/>
      </c>
      <c r="J24">
        <f>'Shared STRAP Scenario'!J24</f>
        <v/>
      </c>
      <c r="K24">
        <f>'Shared STRAP Scenario'!K24</f>
        <v/>
      </c>
      <c r="L24" s="1">
        <f>F24</f>
        <v/>
      </c>
      <c r="M24" s="14">
        <f>'Shared STRAP Scenario'!M24*'[1]New UBs'!$J$57</f>
        <v/>
      </c>
      <c r="N24" s="14">
        <f>'Shared STRAP Scenario'!N24*'[1]New UBs'!$J$57</f>
        <v/>
      </c>
      <c r="O24" s="14">
        <f>'Shared STRAP Scenario'!O24*'[1]New UBs'!$J$57</f>
        <v/>
      </c>
      <c r="P24">
        <f>'Shared STRAP Scenario'!P24/20</f>
        <v/>
      </c>
      <c r="Q24">
        <f>'Shared STRAP Scenario'!Q24</f>
        <v/>
      </c>
    </row>
    <row r="25" ht="17" customHeight="1">
      <c r="A25" t="inlineStr">
        <is>
          <t>Wash 2</t>
        </is>
      </c>
      <c r="B25" t="inlineStr">
        <is>
          <t>EVOH</t>
        </is>
      </c>
      <c r="C25" s="1" t="inlineStr">
        <is>
          <t>Ethylene Glycol</t>
        </is>
      </c>
      <c r="D25" s="1">
        <f>'Shared STRAP Scenario'!D25*'[1]New UBs'!$J$57</f>
        <v/>
      </c>
      <c r="E25" s="1">
        <f>'Shared STRAP Scenario'!E25*'[1]New UBs'!$J$57*0.12</f>
        <v/>
      </c>
      <c r="F25" s="1">
        <f>'Shared STRAP Scenario'!F25*'[1]New UBs'!$J$57/1000</f>
        <v/>
      </c>
      <c r="G25">
        <f>'Shared STRAP Scenario'!G25</f>
        <v/>
      </c>
      <c r="H25">
        <f>'Shared STRAP Scenario'!H25</f>
        <v/>
      </c>
      <c r="I25">
        <f>'Shared STRAP Scenario'!I25</f>
        <v/>
      </c>
      <c r="J25">
        <f>'Shared STRAP Scenario'!J25</f>
        <v/>
      </c>
      <c r="K25">
        <f>'Shared STRAP Scenario'!K25</f>
        <v/>
      </c>
      <c r="L25" s="1">
        <f>F25</f>
        <v/>
      </c>
      <c r="M25" s="14">
        <f>'Shared STRAP Scenario'!M25*'[1]New UBs'!$J$57</f>
        <v/>
      </c>
      <c r="N25" s="14">
        <f>'Shared STRAP Scenario'!N25*'[1]New UBs'!$J$57</f>
        <v/>
      </c>
      <c r="O25" s="14">
        <f>'Shared STRAP Scenario'!O25*'[1]New UBs'!$J$57</f>
        <v/>
      </c>
      <c r="P25">
        <f>'Shared STRAP Scenario'!P25/20</f>
        <v/>
      </c>
      <c r="Q25">
        <f>'Shared STRAP Scenario'!Q25</f>
        <v/>
      </c>
    </row>
    <row r="26" ht="34" customHeight="1">
      <c r="A26" t="inlineStr">
        <is>
          <t>Wash 2</t>
        </is>
      </c>
      <c r="B26" t="inlineStr">
        <is>
          <t>EVOH</t>
        </is>
      </c>
      <c r="C26" s="1" t="inlineStr">
        <is>
          <t>Propylene Glycol</t>
        </is>
      </c>
      <c r="D26" s="1">
        <f>'Shared STRAP Scenario'!D26*'[1]New UBs'!$J$57</f>
        <v/>
      </c>
      <c r="E26" s="1">
        <f>'Shared STRAP Scenario'!E26*'[1]New UBs'!$J$57*0.12</f>
        <v/>
      </c>
      <c r="F26" s="1">
        <f>'Shared STRAP Scenario'!F26*'[1]New UBs'!$J$57/1000</f>
        <v/>
      </c>
      <c r="G26">
        <f>'Shared STRAP Scenario'!G26</f>
        <v/>
      </c>
      <c r="H26">
        <f>'Shared STRAP Scenario'!H26</f>
        <v/>
      </c>
      <c r="I26">
        <f>'Shared STRAP Scenario'!I26</f>
        <v/>
      </c>
      <c r="J26">
        <f>'Shared STRAP Scenario'!J26</f>
        <v/>
      </c>
      <c r="K26">
        <f>'Shared STRAP Scenario'!K26</f>
        <v/>
      </c>
      <c r="L26" s="1">
        <f>F26</f>
        <v/>
      </c>
      <c r="M26" s="14">
        <f>'Shared STRAP Scenario'!M26*'[1]New UBs'!$J$57</f>
        <v/>
      </c>
      <c r="N26" s="14">
        <f>'Shared STRAP Scenario'!N26*'[1]New UBs'!$J$57</f>
        <v/>
      </c>
      <c r="O26" s="14">
        <f>'Shared STRAP Scenario'!O26*'[1]New UBs'!$J$57</f>
        <v/>
      </c>
      <c r="P26">
        <f>'Shared STRAP Scenario'!P26/20</f>
        <v/>
      </c>
      <c r="Q26">
        <f>'Shared STRAP Scenario'!Q26</f>
        <v/>
      </c>
    </row>
    <row r="27" ht="17" customHeight="1">
      <c r="A27" t="inlineStr">
        <is>
          <t>Wash 2</t>
        </is>
      </c>
      <c r="B27" t="inlineStr">
        <is>
          <t>EVOH</t>
        </is>
      </c>
      <c r="C27" s="1" t="inlineStr">
        <is>
          <t>Pyridazine</t>
        </is>
      </c>
      <c r="D27" s="1">
        <f>'Shared STRAP Scenario'!D27*'[1]New UBs'!$J$57</f>
        <v/>
      </c>
      <c r="E27" s="1">
        <f>'Shared STRAP Scenario'!E27*'[1]New UBs'!$J$57*0.12</f>
        <v/>
      </c>
      <c r="F27" s="1">
        <f>'Shared STRAP Scenario'!F27*'[1]New UBs'!$J$57/1000</f>
        <v/>
      </c>
      <c r="G27">
        <f>'Shared STRAP Scenario'!G27</f>
        <v/>
      </c>
      <c r="H27">
        <f>'Shared STRAP Scenario'!H27</f>
        <v/>
      </c>
      <c r="I27">
        <f>'Shared STRAP Scenario'!I27</f>
        <v/>
      </c>
      <c r="J27">
        <f>'Shared STRAP Scenario'!J27</f>
        <v/>
      </c>
      <c r="K27">
        <f>'Shared STRAP Scenario'!K27</f>
        <v/>
      </c>
      <c r="L27" s="1">
        <f>F27</f>
        <v/>
      </c>
      <c r="M27" s="14">
        <f>'Shared STRAP Scenario'!M27*'[1]New UBs'!$J$57</f>
        <v/>
      </c>
      <c r="N27" s="14">
        <f>'Shared STRAP Scenario'!N27*'[1]New UBs'!$J$57</f>
        <v/>
      </c>
      <c r="O27" s="14">
        <f>'Shared STRAP Scenario'!O27*'[1]New UBs'!$J$57</f>
        <v/>
      </c>
      <c r="P27">
        <f>'Shared STRAP Scenario'!P27/20</f>
        <v/>
      </c>
      <c r="Q27">
        <f>'Shared STRAP Scenario'!Q27</f>
        <v/>
      </c>
    </row>
    <row r="28" ht="34" customHeight="1">
      <c r="A28" t="inlineStr">
        <is>
          <t>Wash 2</t>
        </is>
      </c>
      <c r="B28" t="inlineStr">
        <is>
          <t>EVOH</t>
        </is>
      </c>
      <c r="C28" s="1" t="inlineStr">
        <is>
          <t>gamma-butyrolactone</t>
        </is>
      </c>
      <c r="D28" s="1">
        <f>'Shared STRAP Scenario'!D28*'[1]New UBs'!$J$57</f>
        <v/>
      </c>
      <c r="E28" s="1">
        <f>'Shared STRAP Scenario'!E28*'[1]New UBs'!$J$57*0.12</f>
        <v/>
      </c>
      <c r="F28" s="1">
        <f>'Shared STRAP Scenario'!F28*'[1]New UBs'!$J$57/1000</f>
        <v/>
      </c>
      <c r="G28">
        <f>'Shared STRAP Scenario'!G28</f>
        <v/>
      </c>
      <c r="H28">
        <f>'Shared STRAP Scenario'!H28</f>
        <v/>
      </c>
      <c r="I28">
        <f>'Shared STRAP Scenario'!I28</f>
        <v/>
      </c>
      <c r="J28">
        <f>'Shared STRAP Scenario'!J28</f>
        <v/>
      </c>
      <c r="K28">
        <f>'Shared STRAP Scenario'!K28</f>
        <v/>
      </c>
      <c r="L28" s="1">
        <f>F28</f>
        <v/>
      </c>
      <c r="M28" s="14">
        <f>'Shared STRAP Scenario'!M28*'[1]New UBs'!$J$57</f>
        <v/>
      </c>
      <c r="N28" s="14">
        <f>'Shared STRAP Scenario'!N28*'[1]New UBs'!$J$57</f>
        <v/>
      </c>
      <c r="O28" s="14">
        <f>'Shared STRAP Scenario'!O28*'[1]New UBs'!$J$57</f>
        <v/>
      </c>
      <c r="P28">
        <f>'Shared STRAP Scenario'!P28/20</f>
        <v/>
      </c>
      <c r="Q28">
        <f>'Shared STRAP Scenario'!Q28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Q2" sqref="Q2"/>
    </sheetView>
  </sheetViews>
  <sheetFormatPr baseColWidth="10" defaultRowHeight="16"/>
  <cols>
    <col width="14.33203125" customWidth="1" min="3" max="3"/>
    <col width="11.6640625" bestFit="1" customWidth="1" min="6" max="6"/>
    <col width="11.6640625" bestFit="1" customWidth="1" min="12" max="12"/>
  </cols>
  <sheetData>
    <row r="1" ht="170" customHeight="1">
      <c r="A1" s="10" t="inlineStr">
        <is>
          <t>Wash number</t>
        </is>
      </c>
      <c r="B1" s="10">
        <f>'[1]Final Data (use this)'!C11</f>
        <v/>
      </c>
      <c r="C1" s="10">
        <f>'[1]Final Data (use this)'!D11</f>
        <v/>
      </c>
      <c r="D1" s="10" t="inlineStr">
        <is>
          <t>Total Energy Consumed [MJ/kg resin produced ]</t>
        </is>
      </c>
      <c r="E1" s="10" t="inlineStr">
        <is>
          <t>Total Electricity [MJ/kg resin]</t>
        </is>
      </c>
      <c r="F1" s="10" t="inlineStr">
        <is>
          <t>Total Direct GHG emissions [Scope 1] [metric tons CO2 equivalent [tCO2e/ton]]</t>
        </is>
      </c>
      <c r="G1" s="11" t="inlineStr">
        <is>
          <t>Total Energy indirect GHG emissions (Scope 2) [metric tons CO2 equivalent (t CO2e)]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Disposal[ton/ton]</t>
        </is>
      </c>
      <c r="L1" s="10" t="inlineStr">
        <is>
          <t>GWP [tonCO2e/ton resin]</t>
        </is>
      </c>
      <c r="M1" s="10" t="inlineStr">
        <is>
          <t>Human toxicity cancer [CTUh/kg resin]</t>
        </is>
      </c>
      <c r="N1" s="10" t="inlineStr">
        <is>
          <t>Human toxicity non-cancer [CTUh/kg resin]</t>
        </is>
      </c>
      <c r="O1" s="10" t="inlineStr">
        <is>
          <t>Ecotoxicity [CTUe/kg resin]</t>
        </is>
      </c>
      <c r="P1" s="10" t="inlineStr">
        <is>
          <t>CAPEX [USD]</t>
        </is>
      </c>
      <c r="Q1" s="10" t="inlineStr">
        <is>
          <t>OPEX [USD/yr]</t>
        </is>
      </c>
      <c r="R1" s="1" t="n"/>
    </row>
    <row r="2" ht="34" customHeight="1">
      <c r="A2" t="inlineStr">
        <is>
          <t>Wash 1</t>
        </is>
      </c>
      <c r="B2" t="inlineStr">
        <is>
          <t>PE</t>
        </is>
      </c>
      <c r="C2" s="1" t="inlineStr">
        <is>
          <t>sec-Butyl Acetate</t>
        </is>
      </c>
      <c r="D2" s="1">
        <f>[6]Process_results20_C2_P1!B2+[7]Process_results_shredderC2!$B$2</f>
        <v/>
      </c>
      <c r="E2" s="1">
        <f>[6]Process_results20_C2_P1!C2+[7]Process_results_shredderC2!$C$2</f>
        <v/>
      </c>
      <c r="F2" s="1">
        <f>[6]Process_results20_C2_P1!D2+[7]Process_results_shredderC2!$D$2</f>
        <v/>
      </c>
      <c r="G2" t="n">
        <v>0</v>
      </c>
      <c r="H2" t="n">
        <v>1383.74</v>
      </c>
      <c r="I2" t="n">
        <v>125794.99</v>
      </c>
      <c r="J2" t="n">
        <v>18508.81</v>
      </c>
      <c r="K2" s="1" t="n">
        <v>0</v>
      </c>
      <c r="L2" s="1">
        <f>F2</f>
        <v/>
      </c>
      <c r="M2" s="14">
        <f>[6]Process_results20_C2_P1!$I$2+[7]Process_results_shredderC2!$E$2</f>
        <v/>
      </c>
      <c r="N2" s="14">
        <f>[6]Process_results20_C2_P1!$J$2+[7]Process_results_shredderC2!$F$2</f>
        <v/>
      </c>
      <c r="O2" s="14">
        <f>[6]Process_results20_C2_P1!$K$2+[7]Process_results_shredderC2!$G$2</f>
        <v/>
      </c>
      <c r="P2">
        <f>[6]Process_results20_C2_P1!$L$2+[7]Process_results_shredderC2!$H$2</f>
        <v/>
      </c>
      <c r="Q2">
        <f>[6]Process_results20_C2_P1!$M$2+[7]Process_results_shredderC2!$I$2</f>
        <v/>
      </c>
    </row>
    <row r="3" ht="17" customHeight="1">
      <c r="A3" t="inlineStr">
        <is>
          <t>Wash 1</t>
        </is>
      </c>
      <c r="B3" t="inlineStr">
        <is>
          <t>PE</t>
        </is>
      </c>
      <c r="C3" s="1" t="inlineStr">
        <is>
          <t>Isobutyl Acetate</t>
        </is>
      </c>
      <c r="D3" s="1">
        <f>[6]Process_results20_C2_P1!B3+[7]Process_results_shredderC2!$B$2</f>
        <v/>
      </c>
      <c r="E3" s="1">
        <f>[6]Process_results20_C2_P1!C3+[7]Process_results_shredderC2!$C$2</f>
        <v/>
      </c>
      <c r="F3" s="1">
        <f>[6]Process_results20_C2_P1!D3+[7]Process_results_shredderC2!$D$2</f>
        <v/>
      </c>
      <c r="G3" t="n">
        <v>0</v>
      </c>
      <c r="H3" t="n">
        <v>1360.23</v>
      </c>
      <c r="I3" t="n">
        <v>123657.44</v>
      </c>
      <c r="J3" t="n">
        <v>18658.68</v>
      </c>
      <c r="K3" s="1" t="n">
        <v>0</v>
      </c>
      <c r="L3" s="1">
        <f>F3</f>
        <v/>
      </c>
      <c r="M3" s="14">
        <f>[6]Process_results20_C2_P1!$I$2+[7]Process_results_shredderC2!$E$2</f>
        <v/>
      </c>
      <c r="N3" s="14">
        <f>[6]Process_results20_C2_P1!$J$2+[7]Process_results_shredderC2!$F$2</f>
        <v/>
      </c>
      <c r="O3" s="14">
        <f>[6]Process_results20_C2_P1!$K$2+[7]Process_results_shredderC2!$G$2</f>
        <v/>
      </c>
      <c r="P3">
        <f>[6]Process_results20_C2_P1!$L$2+[7]Process_results_shredderC2!$H$2</f>
        <v/>
      </c>
      <c r="Q3">
        <f>[6]Process_results20_C2_P1!$M$2+[7]Process_results_shredderC2!$I$2</f>
        <v/>
      </c>
    </row>
    <row r="4" ht="34" customHeight="1">
      <c r="A4" t="inlineStr">
        <is>
          <t>Wash 1</t>
        </is>
      </c>
      <c r="B4" t="inlineStr">
        <is>
          <t>PE</t>
        </is>
      </c>
      <c r="C4" s="1" t="inlineStr">
        <is>
          <t>Tetrachloroethylene</t>
        </is>
      </c>
      <c r="D4" s="1">
        <f>[6]Process_results20_C2_P1!B4+[7]Process_results_shredderC2!$B$2</f>
        <v/>
      </c>
      <c r="E4" s="1">
        <f>[6]Process_results20_C2_P1!C4+[7]Process_results_shredderC2!$C$2</f>
        <v/>
      </c>
      <c r="F4" s="1">
        <f>[6]Process_results20_C2_P1!D4+[7]Process_results_shredderC2!$D$2</f>
        <v/>
      </c>
      <c r="G4" t="n">
        <v>0</v>
      </c>
      <c r="H4" t="n">
        <v>679.58</v>
      </c>
      <c r="I4" t="n">
        <v>61779.89</v>
      </c>
      <c r="J4" t="n">
        <v>11047.83</v>
      </c>
      <c r="K4" s="1" t="n">
        <v>0</v>
      </c>
      <c r="L4" s="1">
        <f>F4</f>
        <v/>
      </c>
      <c r="M4" s="14">
        <f>[6]Process_results20_C2_P1!$I$2+[7]Process_results_shredderC2!$E$2</f>
        <v/>
      </c>
      <c r="N4" s="14">
        <f>[6]Process_results20_C2_P1!$J$2+[7]Process_results_shredderC2!$F$2</f>
        <v/>
      </c>
      <c r="O4" s="14">
        <f>[6]Process_results20_C2_P1!$K$2+[7]Process_results_shredderC2!$G$2</f>
        <v/>
      </c>
      <c r="P4">
        <f>[6]Process_results20_C2_P1!$L$2+[7]Process_results_shredderC2!$H$2</f>
        <v/>
      </c>
      <c r="Q4">
        <f>[6]Process_results20_C2_P1!$M$2+[7]Process_results_shredderC2!$I$2</f>
        <v/>
      </c>
    </row>
    <row r="5" ht="17" customHeight="1">
      <c r="A5" t="inlineStr">
        <is>
          <t>Wash 1</t>
        </is>
      </c>
      <c r="B5" t="inlineStr">
        <is>
          <t>PE</t>
        </is>
      </c>
      <c r="C5" s="1" t="inlineStr">
        <is>
          <t>o-Chlorotoluene</t>
        </is>
      </c>
      <c r="D5" s="1">
        <f>[6]Process_results20_C2_P1!B5+[7]Process_results_shredderC2!$B$2</f>
        <v/>
      </c>
      <c r="E5" s="1">
        <f>[6]Process_results20_C2_P1!C5+[7]Process_results_shredderC2!$C$2</f>
        <v/>
      </c>
      <c r="F5" s="1">
        <f>[6]Process_results20_C2_P1!D5+[7]Process_results_shredderC2!$D$2</f>
        <v/>
      </c>
      <c r="G5" t="n">
        <v>0</v>
      </c>
      <c r="H5" t="n">
        <v>1677.81</v>
      </c>
      <c r="I5" t="n">
        <v>152528.39</v>
      </c>
      <c r="J5" t="n">
        <v>15799.53</v>
      </c>
      <c r="K5" s="1" t="n">
        <v>0</v>
      </c>
      <c r="L5" s="1">
        <f>F5</f>
        <v/>
      </c>
      <c r="M5" s="14">
        <f>[6]Process_results20_C2_P1!$I$2+[7]Process_results_shredderC2!$E$2</f>
        <v/>
      </c>
      <c r="N5" s="14">
        <f>[6]Process_results20_C2_P1!$J$2+[7]Process_results_shredderC2!$F$2</f>
        <v/>
      </c>
      <c r="O5" s="14">
        <f>[6]Process_results20_C2_P1!$K$2+[7]Process_results_shredderC2!$G$2</f>
        <v/>
      </c>
      <c r="P5">
        <f>[6]Process_results20_C2_P1!$L$2+[7]Process_results_shredderC2!$H$2</f>
        <v/>
      </c>
      <c r="Q5">
        <f>[6]Process_results20_C2_P1!$M$2+[7]Process_results_shredderC2!$I$2</f>
        <v/>
      </c>
    </row>
    <row r="6" ht="34" customHeight="1">
      <c r="A6" t="inlineStr">
        <is>
          <t>Wash 1</t>
        </is>
      </c>
      <c r="B6" t="inlineStr">
        <is>
          <t>PE</t>
        </is>
      </c>
      <c r="C6" s="1" t="inlineStr">
        <is>
          <t>Methylcyclohexane</t>
        </is>
      </c>
      <c r="D6" s="1">
        <f>[6]Process_results20_C2_P1!B6+[7]Process_results_shredderC2!$B$2</f>
        <v/>
      </c>
      <c r="E6" s="1">
        <f>[6]Process_results20_C2_P1!C6+[7]Process_results_shredderC2!$C$2</f>
        <v/>
      </c>
      <c r="F6" s="1">
        <f>[6]Process_results20_C2_P1!D6+[7]Process_results_shredderC2!$D$2</f>
        <v/>
      </c>
      <c r="G6" t="n">
        <v>0</v>
      </c>
      <c r="H6" t="n">
        <v>1126.57</v>
      </c>
      <c r="I6" t="n">
        <v>102415.18</v>
      </c>
      <c r="J6" t="n">
        <v>20323.77</v>
      </c>
      <c r="K6" s="1" t="n">
        <v>0</v>
      </c>
      <c r="L6" s="1">
        <f>F6</f>
        <v/>
      </c>
      <c r="M6" s="14">
        <f>[6]Process_results20_C2_P1!$I$2+[7]Process_results_shredderC2!$E$2</f>
        <v/>
      </c>
      <c r="N6" s="14">
        <f>[6]Process_results20_C2_P1!$J$2+[7]Process_results_shredderC2!$F$2</f>
        <v/>
      </c>
      <c r="O6" s="14">
        <f>[6]Process_results20_C2_P1!$K$2+[7]Process_results_shredderC2!$G$2</f>
        <v/>
      </c>
      <c r="P6">
        <f>[6]Process_results20_C2_P1!$L$2+[7]Process_results_shredderC2!$H$2</f>
        <v/>
      </c>
      <c r="Q6">
        <f>[6]Process_results20_C2_P1!$M$2+[7]Process_results_shredderC2!$I$2</f>
        <v/>
      </c>
    </row>
    <row r="7" ht="17" customHeight="1">
      <c r="A7" t="inlineStr">
        <is>
          <t>Wash 1</t>
        </is>
      </c>
      <c r="B7" t="inlineStr">
        <is>
          <t>PE</t>
        </is>
      </c>
      <c r="C7" s="1" t="inlineStr">
        <is>
          <t>Dodecanol</t>
        </is>
      </c>
      <c r="D7" s="1">
        <f>[6]Process_results20_C2_P1!B7+[7]Process_results_shredderC2!$B$2</f>
        <v/>
      </c>
      <c r="E7" s="1">
        <f>[6]Process_results20_C2_P1!C7+[7]Process_results_shredderC2!$C$2</f>
        <v/>
      </c>
      <c r="F7" s="1">
        <f>[6]Process_results20_C2_P1!D7+[7]Process_results_shredderC2!$D$2</f>
        <v/>
      </c>
      <c r="G7" t="n">
        <v>0</v>
      </c>
      <c r="H7" t="n">
        <v>4559.84</v>
      </c>
      <c r="I7" t="n">
        <v>414531.28</v>
      </c>
      <c r="J7" t="n">
        <v>21287.35</v>
      </c>
      <c r="K7" s="1" t="n">
        <v>0</v>
      </c>
      <c r="L7" s="1">
        <f>F7</f>
        <v/>
      </c>
      <c r="M7" s="14">
        <f>[6]Process_results20_C2_P1!$I$2+[7]Process_results_shredderC2!$E$2</f>
        <v/>
      </c>
      <c r="N7" s="14">
        <f>[6]Process_results20_C2_P1!$J$2+[7]Process_results_shredderC2!$F$2</f>
        <v/>
      </c>
      <c r="O7" s="14">
        <f>[6]Process_results20_C2_P1!$K$2+[7]Process_results_shredderC2!$G$2</f>
        <v/>
      </c>
      <c r="P7">
        <f>[6]Process_results20_C2_P1!$L$2+[7]Process_results_shredderC2!$H$2</f>
        <v/>
      </c>
      <c r="Q7">
        <f>[6]Process_results20_C2_P1!$M$2+[7]Process_results_shredderC2!$I$2</f>
        <v/>
      </c>
    </row>
    <row r="8" ht="17" customHeight="1">
      <c r="A8" t="inlineStr">
        <is>
          <t>Wash 1</t>
        </is>
      </c>
      <c r="B8" t="inlineStr">
        <is>
          <t>PE</t>
        </is>
      </c>
      <c r="C8" s="1" t="inlineStr">
        <is>
          <t>Heptane</t>
        </is>
      </c>
      <c r="D8" s="1">
        <f>[6]Process_results20_C2_P1!B8+[7]Process_results_shredderC2!$B$2</f>
        <v/>
      </c>
      <c r="E8" s="1">
        <f>[6]Process_results20_C2_P1!C8+[7]Process_results_shredderC2!$C$2</f>
        <v/>
      </c>
      <c r="F8" s="1">
        <f>[6]Process_results20_C2_P1!D8+[7]Process_results_shredderC2!$D$2</f>
        <v/>
      </c>
      <c r="G8" t="n">
        <v>0</v>
      </c>
      <c r="H8" t="n">
        <v>1194.23</v>
      </c>
      <c r="I8" t="n">
        <v>108566.55</v>
      </c>
      <c r="J8" t="n">
        <v>22516.04</v>
      </c>
      <c r="K8" s="1" t="n">
        <v>0</v>
      </c>
      <c r="L8" s="1">
        <f>F8</f>
        <v/>
      </c>
      <c r="M8" s="14">
        <f>[6]Process_results20_C2_P1!$I$2+[7]Process_results_shredderC2!$E$2</f>
        <v/>
      </c>
      <c r="N8" s="14">
        <f>[6]Process_results20_C2_P1!$J$2+[7]Process_results_shredderC2!$F$2</f>
        <v/>
      </c>
      <c r="O8" s="14">
        <f>[6]Process_results20_C2_P1!$K$2+[7]Process_results_shredderC2!$G$2</f>
        <v/>
      </c>
      <c r="P8">
        <f>[6]Process_results20_C2_P1!$L$2+[7]Process_results_shredderC2!$H$2</f>
        <v/>
      </c>
      <c r="Q8">
        <f>[6]Process_results20_C2_P1!$M$2+[7]Process_results_shredderC2!$I$2</f>
        <v/>
      </c>
    </row>
    <row r="9" ht="17" customHeight="1">
      <c r="A9" t="inlineStr">
        <is>
          <t>Wash 1</t>
        </is>
      </c>
      <c r="B9" t="inlineStr">
        <is>
          <t>PE</t>
        </is>
      </c>
      <c r="C9" s="1" t="inlineStr">
        <is>
          <t>Toluene</t>
        </is>
      </c>
      <c r="D9" s="1">
        <f>[6]Process_results20_C2_P1!B9+[7]Process_results_shredderC2!$B$2</f>
        <v/>
      </c>
      <c r="E9" s="1">
        <f>[6]Process_results20_C2_P1!C9+[7]Process_results_shredderC2!$C$2</f>
        <v/>
      </c>
      <c r="F9" s="1">
        <f>[6]Process_results20_C2_P1!D9+[7]Process_results_shredderC2!$D$2</f>
        <v/>
      </c>
      <c r="G9" t="n">
        <v>0</v>
      </c>
      <c r="H9" t="n">
        <v>1439.23</v>
      </c>
      <c r="I9" t="n">
        <v>130838.78</v>
      </c>
      <c r="J9" t="n">
        <v>29678.1</v>
      </c>
      <c r="K9" s="1" t="n">
        <v>0</v>
      </c>
      <c r="L9" s="1">
        <f>F9</f>
        <v/>
      </c>
      <c r="M9" s="14">
        <f>[6]Process_results20_C2_P1!$I$2+[7]Process_results_shredderC2!$E$2</f>
        <v/>
      </c>
      <c r="N9" s="14">
        <f>[6]Process_results20_C2_P1!$J$2+[7]Process_results_shredderC2!$F$2</f>
        <v/>
      </c>
      <c r="O9" s="14">
        <f>[6]Process_results20_C2_P1!$K$2+[7]Process_results_shredderC2!$G$2</f>
        <v/>
      </c>
      <c r="P9">
        <f>[6]Process_results20_C2_P1!$L$2+[7]Process_results_shredderC2!$H$2</f>
        <v/>
      </c>
      <c r="Q9">
        <f>[6]Process_results20_C2_P1!$M$2+[7]Process_results_shredderC2!$I$2</f>
        <v/>
      </c>
    </row>
    <row r="10" ht="17" customHeight="1">
      <c r="A10" t="inlineStr">
        <is>
          <t>Wash 1</t>
        </is>
      </c>
      <c r="B10" t="inlineStr">
        <is>
          <t>PE</t>
        </is>
      </c>
      <c r="C10" s="1" t="inlineStr">
        <is>
          <t>Xylene</t>
        </is>
      </c>
      <c r="D10" s="1">
        <f>[6]Process_results20_C2_P1!B10+[7]Process_results_shredderC2!$B$2</f>
        <v/>
      </c>
      <c r="E10" s="1">
        <f>[6]Process_results20_C2_P1!C10+[7]Process_results_shredderC2!$C$2</f>
        <v/>
      </c>
      <c r="F10" s="1">
        <f>[6]Process_results20_C2_P1!D10+[7]Process_results_shredderC2!$D$2</f>
        <v/>
      </c>
      <c r="G10" t="n">
        <v>0</v>
      </c>
      <c r="H10" t="n">
        <v>1723.46</v>
      </c>
      <c r="I10" t="n">
        <v>156677.84</v>
      </c>
      <c r="J10" t="n">
        <v>18236.41</v>
      </c>
      <c r="K10" s="1" t="n">
        <v>0</v>
      </c>
      <c r="L10" s="1">
        <f>F10</f>
        <v/>
      </c>
      <c r="M10" s="14">
        <f>[6]Process_results20_C2_P1!$I$2+[7]Process_results_shredderC2!$E$2</f>
        <v/>
      </c>
      <c r="N10" s="14">
        <f>[6]Process_results20_C2_P1!$J$2+[7]Process_results_shredderC2!$F$2</f>
        <v/>
      </c>
      <c r="O10" s="14">
        <f>[6]Process_results20_C2_P1!$K$2+[7]Process_results_shredderC2!$G$2</f>
        <v/>
      </c>
      <c r="P10">
        <f>[6]Process_results20_C2_P1!$L$2+[7]Process_results_shredderC2!$H$2</f>
        <v/>
      </c>
      <c r="Q10">
        <f>[6]Process_results20_C2_P1!$M$2+[7]Process_results_shredderC2!$I$2</f>
        <v/>
      </c>
    </row>
    <row r="11">
      <c r="A11" t="inlineStr">
        <is>
          <t>Wash 1</t>
        </is>
      </c>
      <c r="B11" t="inlineStr">
        <is>
          <t>EVOH</t>
        </is>
      </c>
      <c r="C11">
        <f>[5]Process_results_C2_E1!$A$2</f>
        <v/>
      </c>
      <c r="D11">
        <f>[8]Process_results20_C2_E1!B2+[7]Process_results_shredderC2!$B$2</f>
        <v/>
      </c>
      <c r="E11">
        <f>[8]Process_results20_C2_E1!C2+[7]Process_results_shredderC2!$C$2</f>
        <v/>
      </c>
      <c r="F11">
        <f>[8]Process_results20_C2_E1!D2+[7]Process_results_shredderC2!$D$2</f>
        <v/>
      </c>
      <c r="G11" t="n">
        <v>0</v>
      </c>
      <c r="H11" t="n">
        <v>3240.51</v>
      </c>
      <c r="I11" t="n">
        <v>294592.24</v>
      </c>
      <c r="J11" t="n">
        <v>6065.88</v>
      </c>
      <c r="K11" s="1" t="n">
        <v>0</v>
      </c>
      <c r="L11" s="1">
        <f>F11</f>
        <v/>
      </c>
      <c r="M11" s="4">
        <f>[8]Process_results20_C2_E1!I2+[7]Process_results_shredderC2!$E$2</f>
        <v/>
      </c>
      <c r="N11" s="4">
        <f>[8]Process_results20_C2_E1!J2+[7]Process_results_shredderC2!$F$2</f>
        <v/>
      </c>
      <c r="O11" s="4">
        <f>[8]Process_results20_C2_E1!K2+[7]Process_results_shredderC2!$G$2</f>
        <v/>
      </c>
      <c r="P11" s="4">
        <f>[8]Process_results20_C2_E1!L2+[7]Process_results_shredderC2!$H$2</f>
        <v/>
      </c>
      <c r="Q11" s="4">
        <f>[8]Process_results20_C2_E1!M2+[7]Process_results_shredderC2!$I$2</f>
        <v/>
      </c>
    </row>
    <row r="12">
      <c r="A12" t="inlineStr">
        <is>
          <t>Wash 1</t>
        </is>
      </c>
      <c r="B12" t="inlineStr">
        <is>
          <t>EVOH</t>
        </is>
      </c>
      <c r="C12" t="inlineStr">
        <is>
          <t>Pyridazine</t>
        </is>
      </c>
      <c r="D12">
        <f>[8]Process_results20_C2_E1!B3+[7]Process_results_shredderC2!$B$2</f>
        <v/>
      </c>
      <c r="E12">
        <f>[8]Process_results20_C2_E1!C3+[7]Process_results_shredderC2!$C$2</f>
        <v/>
      </c>
      <c r="F12">
        <f>[8]Process_results20_C2_E1!D3+[7]Process_results_shredderC2!$D$2</f>
        <v/>
      </c>
      <c r="G12" t="n">
        <v>0</v>
      </c>
      <c r="H12" t="n">
        <v>1930.13</v>
      </c>
      <c r="I12" t="n">
        <v>175466.5</v>
      </c>
      <c r="J12" t="n">
        <v>7094.61</v>
      </c>
      <c r="K12" s="1" t="n">
        <v>0</v>
      </c>
      <c r="L12" s="1">
        <f>F12</f>
        <v/>
      </c>
      <c r="M12" s="4">
        <f>[8]Process_results20_C2_E1!I3+[7]Process_results_shredderC2!$E$2</f>
        <v/>
      </c>
      <c r="N12" s="4">
        <f>[8]Process_results20_C2_E1!J3+[7]Process_results_shredderC2!$F$2</f>
        <v/>
      </c>
      <c r="O12" s="4">
        <f>[8]Process_results20_C2_E1!K3+[7]Process_results_shredderC2!$G$2</f>
        <v/>
      </c>
      <c r="P12" s="4">
        <f>[8]Process_results20_C2_E1!L3+[7]Process_results_shredderC2!$H$2</f>
        <v/>
      </c>
      <c r="Q12" s="4">
        <f>[8]Process_results20_C2_E1!M3+[7]Process_results_shredderC2!$I$2</f>
        <v/>
      </c>
    </row>
    <row r="13" ht="34" customHeight="1">
      <c r="A13" t="inlineStr">
        <is>
          <t>Wash 2</t>
        </is>
      </c>
      <c r="B13" t="inlineStr">
        <is>
          <t>PE</t>
        </is>
      </c>
      <c r="C13" s="1" t="inlineStr">
        <is>
          <t>sec-Butyl Acetate</t>
        </is>
      </c>
      <c r="D13" t="n">
        <v>4.83</v>
      </c>
      <c r="E13" t="n">
        <v>4.01</v>
      </c>
      <c r="F13" t="n">
        <v>0.932574057122727</v>
      </c>
      <c r="G13" t="n">
        <v>0</v>
      </c>
      <c r="H13" t="n">
        <v>1304.65</v>
      </c>
      <c r="I13" t="n">
        <v>118604.5</v>
      </c>
      <c r="J13" t="n">
        <v>18259</v>
      </c>
      <c r="K13" s="1" t="n">
        <v>0</v>
      </c>
      <c r="L13" s="1">
        <f>F13</f>
        <v/>
      </c>
      <c r="M13" s="29" t="n">
        <v>2.93e-08</v>
      </c>
      <c r="N13" s="29" t="n">
        <v>9.829999999999999e-07</v>
      </c>
      <c r="O13" s="6" t="n">
        <v>21.2835448</v>
      </c>
      <c r="P13" s="6" t="n">
        <v>51247983.3</v>
      </c>
      <c r="Q13" s="6" t="n">
        <v>2365869.35</v>
      </c>
    </row>
    <row r="14" ht="17" customHeight="1">
      <c r="A14" t="inlineStr">
        <is>
          <t>Wash 2</t>
        </is>
      </c>
      <c r="B14" t="inlineStr">
        <is>
          <t>PE</t>
        </is>
      </c>
      <c r="C14" s="1" t="inlineStr">
        <is>
          <t>Isobutyl Acetate</t>
        </is>
      </c>
      <c r="D14" t="n">
        <v>4.81</v>
      </c>
      <c r="E14" t="n">
        <v>4.01</v>
      </c>
      <c r="F14" t="n">
        <v>0.930786112203881</v>
      </c>
      <c r="G14" t="n">
        <v>0</v>
      </c>
      <c r="H14" t="n">
        <v>1286.81</v>
      </c>
      <c r="I14" t="n">
        <v>116982.78</v>
      </c>
      <c r="J14" t="n">
        <v>18407.97</v>
      </c>
      <c r="K14" s="1" t="n">
        <v>0</v>
      </c>
      <c r="L14" s="1">
        <f>F14</f>
        <v/>
      </c>
      <c r="M14" s="29" t="n">
        <v>2.89e-08</v>
      </c>
      <c r="N14" s="29" t="n">
        <v>9.84e-07</v>
      </c>
      <c r="O14" s="6" t="n">
        <v>21.2970568</v>
      </c>
      <c r="P14" s="6" t="n">
        <v>51606553.6</v>
      </c>
      <c r="Q14" s="6" t="n">
        <v>2372999.05</v>
      </c>
    </row>
    <row r="15" ht="34" customHeight="1">
      <c r="A15" t="inlineStr">
        <is>
          <t>Wash 2</t>
        </is>
      </c>
      <c r="B15" t="inlineStr">
        <is>
          <t>PE</t>
        </is>
      </c>
      <c r="C15" s="1" t="inlineStr">
        <is>
          <t>Tetrachloroethylene</t>
        </is>
      </c>
      <c r="D15" t="n">
        <v>4.26</v>
      </c>
      <c r="E15" t="n">
        <v>3.84</v>
      </c>
      <c r="F15" t="n">
        <v>0.86331611413327</v>
      </c>
      <c r="G15" t="n">
        <v>0</v>
      </c>
      <c r="H15" t="n">
        <v>629.24</v>
      </c>
      <c r="I15" t="n">
        <v>57203.79</v>
      </c>
      <c r="J15" t="n">
        <v>10854.73</v>
      </c>
      <c r="K15" s="1" t="n">
        <v>0</v>
      </c>
      <c r="L15" s="1">
        <f>F15</f>
        <v/>
      </c>
      <c r="M15" s="29" t="n">
        <v>2.03e-08</v>
      </c>
      <c r="N15" s="29" t="n">
        <v>9.41e-07</v>
      </c>
      <c r="O15" s="6" t="n">
        <v>20.235953</v>
      </c>
      <c r="P15" s="6" t="n">
        <v>41748488.6</v>
      </c>
      <c r="Q15" s="6" t="n">
        <v>2138088.32</v>
      </c>
    </row>
    <row r="16" ht="17" customHeight="1">
      <c r="A16" t="inlineStr">
        <is>
          <t>Wash 2</t>
        </is>
      </c>
      <c r="B16" t="inlineStr">
        <is>
          <t>PE</t>
        </is>
      </c>
      <c r="C16" s="1" t="inlineStr">
        <is>
          <t>o-Chlorotoluene</t>
        </is>
      </c>
      <c r="D16" t="n">
        <v>5.07</v>
      </c>
      <c r="E16" t="n">
        <v>4</v>
      </c>
      <c r="F16" t="n">
        <v>0.948293406702625</v>
      </c>
      <c r="G16" t="n">
        <v>0</v>
      </c>
      <c r="H16" t="n">
        <v>1595.09</v>
      </c>
      <c r="I16" t="n">
        <v>145008.63</v>
      </c>
      <c r="J16" t="n">
        <v>15567.25</v>
      </c>
      <c r="K16" s="1" t="n">
        <v>0</v>
      </c>
      <c r="L16" s="1">
        <f>F16</f>
        <v/>
      </c>
      <c r="M16" s="29" t="n">
        <v>3.3e-08</v>
      </c>
      <c r="N16" s="29" t="n">
        <v>9.81e-07</v>
      </c>
      <c r="O16" s="6" t="n">
        <v>21.2653399</v>
      </c>
      <c r="P16" s="6" t="n">
        <v>48176166.3</v>
      </c>
      <c r="Q16" s="6" t="n">
        <v>2309225.69</v>
      </c>
    </row>
    <row r="17" ht="34" customHeight="1">
      <c r="A17" t="inlineStr">
        <is>
          <t>Wash 2</t>
        </is>
      </c>
      <c r="B17" t="inlineStr">
        <is>
          <t>PE</t>
        </is>
      </c>
      <c r="C17" s="1" t="inlineStr">
        <is>
          <t>Methylcyclohexane</t>
        </is>
      </c>
      <c r="D17" t="n">
        <v>4.59</v>
      </c>
      <c r="E17" t="n">
        <v>4</v>
      </c>
      <c r="F17" t="n">
        <v>0.907277067448384</v>
      </c>
      <c r="G17" t="n">
        <v>0</v>
      </c>
      <c r="H17" t="n">
        <v>1043.76</v>
      </c>
      <c r="I17" t="n">
        <v>94887.58</v>
      </c>
      <c r="J17" t="n">
        <v>20064.46</v>
      </c>
      <c r="K17" s="1" t="n">
        <v>0</v>
      </c>
      <c r="L17" s="1">
        <f>F17</f>
        <v/>
      </c>
      <c r="M17" s="29" t="n">
        <v>2.44e-08</v>
      </c>
      <c r="N17" s="29" t="n">
        <v>9.81e-07</v>
      </c>
      <c r="O17" s="6" t="n">
        <v>21.1616693</v>
      </c>
      <c r="P17" s="6" t="n">
        <v>53369264.1</v>
      </c>
      <c r="Q17" s="6" t="n">
        <v>2401793.15</v>
      </c>
    </row>
    <row r="18" ht="17" customHeight="1">
      <c r="A18" t="inlineStr">
        <is>
          <t>Wash 2</t>
        </is>
      </c>
      <c r="B18" t="inlineStr">
        <is>
          <t>PE</t>
        </is>
      </c>
      <c r="C18" s="1" t="inlineStr">
        <is>
          <t>Dodecanol</t>
        </is>
      </c>
      <c r="D18" t="n">
        <v>7.9</v>
      </c>
      <c r="E18" t="n">
        <v>4.37</v>
      </c>
      <c r="F18" t="n">
        <v>1.23214475067475</v>
      </c>
      <c r="G18" t="n">
        <v>0</v>
      </c>
      <c r="H18" t="n">
        <v>4423.08</v>
      </c>
      <c r="I18" t="n">
        <v>402098.17</v>
      </c>
      <c r="J18" t="n">
        <v>21013.87</v>
      </c>
      <c r="K18" s="1" t="n">
        <v>0</v>
      </c>
      <c r="L18" s="1">
        <f>F18</f>
        <v/>
      </c>
      <c r="M18" s="29" t="n">
        <v>7.66e-08</v>
      </c>
      <c r="N18" s="29" t="n">
        <v>1.08e-06</v>
      </c>
      <c r="O18" s="6" t="n">
        <v>23.8398764</v>
      </c>
      <c r="P18" s="6" t="n">
        <v>55246415.6</v>
      </c>
      <c r="Q18" s="6" t="n">
        <v>2604628.89</v>
      </c>
    </row>
    <row r="19" ht="17" customHeight="1">
      <c r="A19" t="inlineStr">
        <is>
          <t>Wash 2</t>
        </is>
      </c>
      <c r="B19" t="inlineStr">
        <is>
          <t>PE</t>
        </is>
      </c>
      <c r="C19" s="1" t="inlineStr">
        <is>
          <t>Heptane</t>
        </is>
      </c>
      <c r="D19" t="n">
        <v>4.68</v>
      </c>
      <c r="E19" t="n">
        <v>4.04</v>
      </c>
      <c r="F19" t="n">
        <v>0.916026526663637</v>
      </c>
      <c r="G19" t="n">
        <v>0</v>
      </c>
      <c r="H19" t="n">
        <v>1112.3</v>
      </c>
      <c r="I19" t="n">
        <v>101118.33</v>
      </c>
      <c r="J19" t="n">
        <v>22242.85</v>
      </c>
      <c r="K19" s="1" t="n">
        <v>0</v>
      </c>
      <c r="L19" s="1">
        <f>F19</f>
        <v/>
      </c>
      <c r="M19" s="29" t="n">
        <v>2.48e-08</v>
      </c>
      <c r="N19" s="29" t="n">
        <v>9.900000000000001e-07</v>
      </c>
      <c r="O19" s="6" t="n">
        <v>21.3486622</v>
      </c>
      <c r="P19" s="6" t="n">
        <v>56046040.5</v>
      </c>
      <c r="Q19" s="6" t="n">
        <v>2463387.88</v>
      </c>
    </row>
    <row r="20" ht="17" customHeight="1">
      <c r="A20" t="inlineStr">
        <is>
          <t>Wash 2</t>
        </is>
      </c>
      <c r="B20" t="inlineStr">
        <is>
          <t>PE</t>
        </is>
      </c>
      <c r="C20" s="1" t="inlineStr">
        <is>
          <t>Toluene</t>
        </is>
      </c>
      <c r="D20" t="n">
        <v>4.92</v>
      </c>
      <c r="E20" t="n">
        <v>4.15</v>
      </c>
      <c r="F20" t="n">
        <v>0.951211586176935</v>
      </c>
      <c r="G20" t="n">
        <v>0</v>
      </c>
      <c r="H20" t="n">
        <v>1343.2</v>
      </c>
      <c r="I20" t="n">
        <v>122109.4</v>
      </c>
      <c r="J20" t="n">
        <v>29290.58</v>
      </c>
      <c r="K20" s="1" t="n">
        <v>0</v>
      </c>
      <c r="L20" s="1">
        <f>F20</f>
        <v/>
      </c>
      <c r="M20" s="29" t="n">
        <v>2.81e-08</v>
      </c>
      <c r="N20" s="29" t="n">
        <v>1.02e-06</v>
      </c>
      <c r="O20" s="6" t="n">
        <v>21.9287923</v>
      </c>
      <c r="P20" s="6" t="n">
        <v>63309202.4</v>
      </c>
      <c r="Q20" s="6" t="n">
        <v>2670225.71</v>
      </c>
    </row>
    <row r="21" ht="17" customHeight="1">
      <c r="A21" t="inlineStr">
        <is>
          <t>Wash 2</t>
        </is>
      </c>
      <c r="B21" t="inlineStr">
        <is>
          <t>PE</t>
        </is>
      </c>
      <c r="C21" s="1" t="inlineStr">
        <is>
          <t>Xylene</t>
        </is>
      </c>
      <c r="D21" t="n">
        <v>5.09</v>
      </c>
      <c r="E21" t="n">
        <v>4.04</v>
      </c>
      <c r="F21" t="n">
        <v>0.951851060310148</v>
      </c>
      <c r="G21" t="n">
        <v>0</v>
      </c>
      <c r="H21" t="n">
        <v>1639.68</v>
      </c>
      <c r="I21" t="n">
        <v>149061.63</v>
      </c>
      <c r="J21" t="n">
        <v>17987.13</v>
      </c>
      <c r="K21" s="1" t="n">
        <v>0</v>
      </c>
      <c r="L21" s="1">
        <f>F21</f>
        <v/>
      </c>
      <c r="M21" s="29" t="n">
        <v>3.19e-08</v>
      </c>
      <c r="N21" s="29" t="n">
        <v>9.89e-07</v>
      </c>
      <c r="O21" s="6" t="n">
        <v>21.3995896</v>
      </c>
      <c r="P21" s="6" t="n">
        <v>51159779.5</v>
      </c>
      <c r="Q21" s="6" t="n">
        <v>2375168.89</v>
      </c>
    </row>
    <row r="22" ht="17" customHeight="1">
      <c r="A22" t="inlineStr">
        <is>
          <t>Wash 2</t>
        </is>
      </c>
      <c r="B22" t="inlineStr">
        <is>
          <t>EVOH</t>
        </is>
      </c>
      <c r="C22" s="1" t="inlineStr">
        <is>
          <t>butane-1,4-diol</t>
        </is>
      </c>
      <c r="D22" t="n">
        <v>8.65</v>
      </c>
      <c r="E22" t="n">
        <v>4.61</v>
      </c>
      <c r="F22" t="n">
        <v>1.45708562036327</v>
      </c>
      <c r="G22" t="n">
        <v>0</v>
      </c>
      <c r="H22" t="n">
        <v>1109.22</v>
      </c>
      <c r="I22" t="n">
        <v>100837.82</v>
      </c>
      <c r="J22" t="n">
        <v>3250.8</v>
      </c>
      <c r="K22" s="1" t="n">
        <v>0</v>
      </c>
      <c r="L22" s="1">
        <f>F22</f>
        <v/>
      </c>
      <c r="M22" s="4" t="n">
        <v>8.81277586195955e-08</v>
      </c>
      <c r="N22" s="4" t="n">
        <v>1.13573598568398e-06</v>
      </c>
      <c r="O22" t="n">
        <v>25.0366723478078</v>
      </c>
      <c r="P22" t="n">
        <v>16107740.49</v>
      </c>
      <c r="Q22" t="n">
        <v>788338.9</v>
      </c>
    </row>
    <row r="23" ht="17" customHeight="1">
      <c r="A23" t="inlineStr">
        <is>
          <t>Wash 2</t>
        </is>
      </c>
      <c r="B23" t="inlineStr">
        <is>
          <t>EVOH</t>
        </is>
      </c>
      <c r="C23" s="1" t="inlineStr">
        <is>
          <t>Diethanolamine</t>
        </is>
      </c>
      <c r="D23" t="n">
        <v>10.87</v>
      </c>
      <c r="E23" t="n">
        <v>4.81</v>
      </c>
      <c r="F23" t="n">
        <v>1.66412499388337</v>
      </c>
      <c r="G23" t="n">
        <v>0</v>
      </c>
      <c r="H23" t="n">
        <v>1442.19</v>
      </c>
      <c r="I23" t="n">
        <v>131107.9</v>
      </c>
      <c r="J23" t="n">
        <v>2899</v>
      </c>
      <c r="K23" s="1" t="n">
        <v>0</v>
      </c>
      <c r="L23" s="1">
        <f>F23</f>
        <v/>
      </c>
      <c r="M23" s="4" t="n">
        <v>1.22187169150376e-07</v>
      </c>
      <c r="N23" s="4" t="n">
        <v>1.18549248350358e-06</v>
      </c>
      <c r="O23" t="n">
        <v>26.418719896292</v>
      </c>
      <c r="P23" t="n">
        <v>15561768.72</v>
      </c>
      <c r="Q23" t="n">
        <v>793517.72</v>
      </c>
    </row>
    <row r="24" ht="34" customHeight="1">
      <c r="A24" t="inlineStr">
        <is>
          <t>Wash 2</t>
        </is>
      </c>
      <c r="B24" t="inlineStr">
        <is>
          <t>EVOH</t>
        </is>
      </c>
      <c r="C24" s="1" t="inlineStr">
        <is>
          <t>Diethylene glycol</t>
        </is>
      </c>
      <c r="D24" t="n">
        <v>9.550000000000001</v>
      </c>
      <c r="E24" t="n">
        <v>4.68</v>
      </c>
      <c r="F24" t="n">
        <v>1.5363017152056</v>
      </c>
      <c r="G24" t="n">
        <v>0</v>
      </c>
      <c r="H24" t="n">
        <v>1177.79</v>
      </c>
      <c r="I24" t="n">
        <v>107071.49</v>
      </c>
      <c r="J24" t="n">
        <v>2847.02</v>
      </c>
      <c r="K24" s="1" t="n">
        <v>0</v>
      </c>
      <c r="L24" s="1">
        <f>F24</f>
        <v/>
      </c>
      <c r="M24" s="4" t="n">
        <v>1.0175300315943e-07</v>
      </c>
      <c r="N24" s="4" t="n">
        <v>1.15171038097891e-06</v>
      </c>
      <c r="O24" t="n">
        <v>25.4954374886743</v>
      </c>
      <c r="P24" t="n">
        <v>15469988.07</v>
      </c>
      <c r="Q24" t="n">
        <v>781218.91</v>
      </c>
    </row>
    <row r="25" ht="17" customHeight="1">
      <c r="A25" t="inlineStr">
        <is>
          <t>Wash 2</t>
        </is>
      </c>
      <c r="B25" t="inlineStr">
        <is>
          <t>EVOH</t>
        </is>
      </c>
      <c r="C25" s="1" t="inlineStr">
        <is>
          <t>Ethylene Glycol</t>
        </is>
      </c>
      <c r="D25" t="n">
        <v>8.279999999999999</v>
      </c>
      <c r="E25" t="n">
        <v>4.58</v>
      </c>
      <c r="F25" t="n">
        <v>1.41745615119325</v>
      </c>
      <c r="G25" t="n">
        <v>0</v>
      </c>
      <c r="H25" t="n">
        <v>1324.98</v>
      </c>
      <c r="I25" t="n">
        <v>120453.04</v>
      </c>
      <c r="J25" t="n">
        <v>2832.16</v>
      </c>
      <c r="K25" s="1" t="n">
        <v>0</v>
      </c>
      <c r="L25" s="1">
        <f>F25</f>
        <v/>
      </c>
      <c r="M25" s="4" t="n">
        <v>8.13348671264144e-08</v>
      </c>
      <c r="N25" s="4" t="n">
        <v>1.12850550771644e-06</v>
      </c>
      <c r="O25" t="n">
        <v>24.7974604974124</v>
      </c>
      <c r="P25" t="n">
        <v>15474297.54</v>
      </c>
      <c r="Q25" t="n">
        <v>771538.54</v>
      </c>
    </row>
    <row r="26" ht="34" customHeight="1">
      <c r="A26" t="inlineStr">
        <is>
          <t>Wash 2</t>
        </is>
      </c>
      <c r="B26" t="inlineStr">
        <is>
          <t>EVOH</t>
        </is>
      </c>
      <c r="C26" s="1" t="inlineStr">
        <is>
          <t>Propylene Glycol</t>
        </is>
      </c>
      <c r="D26" t="n">
        <v>8.199999999999999</v>
      </c>
      <c r="E26" t="n">
        <v>4.59</v>
      </c>
      <c r="F26" t="n">
        <v>1.41625387682201</v>
      </c>
      <c r="G26" t="n">
        <v>0</v>
      </c>
      <c r="H26" t="n">
        <v>1191.52</v>
      </c>
      <c r="I26" t="n">
        <v>108319.67</v>
      </c>
      <c r="J26" t="n">
        <v>3006.93</v>
      </c>
      <c r="K26" s="1" t="n">
        <v>0</v>
      </c>
      <c r="L26" s="1">
        <f>F26</f>
        <v/>
      </c>
      <c r="M26" s="4" t="n">
        <v>8.15499717291446e-08</v>
      </c>
      <c r="N26" s="4" t="n">
        <v>1.13277113790902e-06</v>
      </c>
      <c r="O26" t="n">
        <v>24.9459038252168</v>
      </c>
      <c r="P26" t="n">
        <v>15806910</v>
      </c>
      <c r="Q26" t="n">
        <v>777881.8199999999</v>
      </c>
    </row>
    <row r="27" ht="17" customHeight="1">
      <c r="A27" t="inlineStr">
        <is>
          <t>Wash 2</t>
        </is>
      </c>
      <c r="B27" t="inlineStr">
        <is>
          <t>EVOH</t>
        </is>
      </c>
      <c r="C27" s="1" t="inlineStr">
        <is>
          <t>Pyridazine</t>
        </is>
      </c>
      <c r="D27" t="n">
        <v>7</v>
      </c>
      <c r="E27" t="n">
        <v>4.44</v>
      </c>
      <c r="F27" t="n">
        <v>1.30941312436617</v>
      </c>
      <c r="G27" t="n">
        <v>0</v>
      </c>
      <c r="H27" t="n">
        <v>796.6900000000001</v>
      </c>
      <c r="I27" t="n">
        <v>72426.7</v>
      </c>
      <c r="J27" t="n">
        <v>3330.18</v>
      </c>
      <c r="K27" s="1" t="n">
        <v>0</v>
      </c>
      <c r="L27" s="1">
        <f>F27</f>
        <v/>
      </c>
      <c r="M27" s="4" t="n">
        <v>6.60263619207931e-08</v>
      </c>
      <c r="N27" s="4" t="n">
        <v>1.10096979816638e-06</v>
      </c>
      <c r="O27" t="n">
        <v>24.3853583909478</v>
      </c>
      <c r="P27" t="n">
        <v>16128004.93</v>
      </c>
      <c r="Q27" t="n">
        <v>776753.89</v>
      </c>
    </row>
    <row r="28" ht="34" customHeight="1">
      <c r="A28" t="inlineStr">
        <is>
          <t>Wash 2</t>
        </is>
      </c>
      <c r="B28" t="inlineStr">
        <is>
          <t>EVOH</t>
        </is>
      </c>
      <c r="C28" s="1" t="inlineStr">
        <is>
          <t>gamma-butyrolactone</t>
        </is>
      </c>
      <c r="D28" t="n">
        <v>7.17</v>
      </c>
      <c r="E28" t="n">
        <v>4.43</v>
      </c>
      <c r="F28" t="n">
        <v>1.31299511989504</v>
      </c>
      <c r="G28" t="n">
        <v>0</v>
      </c>
      <c r="H28" t="n">
        <v>820.52</v>
      </c>
      <c r="I28" t="n">
        <v>74592.63</v>
      </c>
      <c r="J28" t="n">
        <v>2886.53</v>
      </c>
      <c r="K28" s="1" t="n">
        <v>0</v>
      </c>
      <c r="L28" s="1">
        <f>F28</f>
        <v/>
      </c>
      <c r="M28" s="4" t="n">
        <v>6.60855869782162e-08</v>
      </c>
      <c r="N28" s="4" t="n">
        <v>1.09185386271011e-06</v>
      </c>
      <c r="O28" t="n">
        <v>23.9112128449421</v>
      </c>
      <c r="P28" t="n">
        <v>15430390.91</v>
      </c>
      <c r="Q28" t="n">
        <v>763240.91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S4" sqref="S4"/>
    </sheetView>
  </sheetViews>
  <sheetFormatPr baseColWidth="10" defaultRowHeight="16"/>
  <cols>
    <col width="14.33203125" customWidth="1" min="3" max="3"/>
    <col width="11.6640625" bestFit="1" customWidth="1" min="12" max="12"/>
  </cols>
  <sheetData>
    <row r="1" ht="170" customHeight="1">
      <c r="A1" s="10" t="inlineStr">
        <is>
          <t>Wash number</t>
        </is>
      </c>
      <c r="B1" s="10">
        <f>'[1]Final Data (use this)'!C11</f>
        <v/>
      </c>
      <c r="C1" s="10">
        <f>'[1]Final Data (use this)'!D11</f>
        <v/>
      </c>
      <c r="D1" s="10" t="inlineStr">
        <is>
          <t>Total Energy Consumed [MJ/kg resin produced ]</t>
        </is>
      </c>
      <c r="E1" s="10" t="inlineStr">
        <is>
          <t>Total Electricity [MJ/kg resin]</t>
        </is>
      </c>
      <c r="F1" s="10" t="inlineStr">
        <is>
          <t>Total Direct GHG emissions [Scope 1] [metric tons CO2 equivalent [tCO2e/ton]]</t>
        </is>
      </c>
      <c r="G1" s="11" t="inlineStr">
        <is>
          <t>Total Energy indirect GHG emissions (Scope 2) [metric tons CO2 equivalent (t CO2e)]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Disposal[ton/ton]</t>
        </is>
      </c>
      <c r="L1" s="10" t="inlineStr">
        <is>
          <t>GWP [tonCO2e/ton resin]</t>
        </is>
      </c>
      <c r="M1" s="10" t="inlineStr">
        <is>
          <t>Human toxicity cancer [CTUh/kg resin]</t>
        </is>
      </c>
      <c r="N1" s="10" t="inlineStr">
        <is>
          <t>Human toxicity non-cancer [CTUh/kg resin]</t>
        </is>
      </c>
      <c r="O1" s="10" t="inlineStr">
        <is>
          <t>Ecotoxicity [CTUe/kg resin]</t>
        </is>
      </c>
      <c r="P1" s="10" t="inlineStr">
        <is>
          <t>CAPEX [USD]</t>
        </is>
      </c>
      <c r="Q1" s="10" t="inlineStr">
        <is>
          <t>OPEX [USD/yr]</t>
        </is>
      </c>
      <c r="R1" s="1" t="n"/>
    </row>
    <row r="2" ht="34" customHeight="1">
      <c r="A2" t="inlineStr">
        <is>
          <t>Wash 1</t>
        </is>
      </c>
      <c r="B2" t="inlineStr">
        <is>
          <t>PE</t>
        </is>
      </c>
      <c r="C2" s="1" t="inlineStr">
        <is>
          <t>sec-Butyl Acetate</t>
        </is>
      </c>
      <c r="D2" s="1">
        <f>[9]Process_results_C2_P1!B2+[10]Process_results_shredderC2!$B$2</f>
        <v/>
      </c>
      <c r="E2" s="1">
        <f>[9]Process_results_C2_P1!C2+[10]Process_results_shredderC2!$C$2</f>
        <v/>
      </c>
      <c r="F2">
        <f>L2</f>
        <v/>
      </c>
      <c r="G2" t="n">
        <v>0</v>
      </c>
      <c r="H2" s="1" t="n">
        <v>553.5</v>
      </c>
      <c r="I2" s="1" t="n">
        <v>50318</v>
      </c>
      <c r="J2" s="1" t="n">
        <v>7403.53</v>
      </c>
      <c r="K2" s="1" t="n">
        <v>0</v>
      </c>
      <c r="L2" s="1">
        <f>[9]Process_results_C2_P1!D2+[10]Process_results_shredderC2!$D$2</f>
        <v/>
      </c>
      <c r="M2" s="14">
        <f>[9]Process_results_C2_P1!I2+[10]Process_results_shredderC2!$E$2</f>
        <v/>
      </c>
      <c r="N2" s="14">
        <f>[9]Process_results_C2_P1!J2+[10]Process_results_shredderC2!$F$2</f>
        <v/>
      </c>
      <c r="O2" s="14">
        <f>[9]Process_results_C2_P1!K2+[10]Process_results_shredderC2!$G$2</f>
        <v/>
      </c>
      <c r="P2">
        <f>[9]Process_results_C2_P1!L2+[10]Process_results_shredderC2!$H$2</f>
        <v/>
      </c>
      <c r="Q2">
        <f>[9]Process_results_C2_P1!M2+[10]Process_results_shredderC2!$I$2</f>
        <v/>
      </c>
    </row>
    <row r="3" ht="17" customHeight="1">
      <c r="A3" t="inlineStr">
        <is>
          <t>Wash 1</t>
        </is>
      </c>
      <c r="B3" t="inlineStr">
        <is>
          <t>PE</t>
        </is>
      </c>
      <c r="C3" s="1" t="inlineStr">
        <is>
          <t>Isobutyl Acetate</t>
        </is>
      </c>
      <c r="D3" s="1">
        <f>[9]Process_results_C2_P1!B3+[10]Process_results_shredderC2!$B$2</f>
        <v/>
      </c>
      <c r="E3" s="1">
        <f>[9]Process_results_C2_P1!C3+[10]Process_results_shredderC2!$C$2</f>
        <v/>
      </c>
      <c r="F3">
        <f>L3</f>
        <v/>
      </c>
      <c r="G3" t="n">
        <v>0</v>
      </c>
      <c r="H3" s="1" t="n">
        <v>544.09</v>
      </c>
      <c r="I3" s="1" t="n">
        <v>49462.98</v>
      </c>
      <c r="J3" s="1" t="n">
        <v>7463.47</v>
      </c>
      <c r="K3" s="1" t="n">
        <v>0</v>
      </c>
      <c r="L3" s="1">
        <f>[9]Process_results_C2_P1!D3+[10]Process_results_shredderC2!$D$2</f>
        <v/>
      </c>
      <c r="M3" s="14">
        <f>[9]Process_results_C2_P1!I3+[10]Process_results_shredderC2!$E$2</f>
        <v/>
      </c>
      <c r="N3" s="14">
        <f>[9]Process_results_C2_P1!J3+[10]Process_results_shredderC2!$F$2</f>
        <v/>
      </c>
      <c r="O3" s="14">
        <f>[9]Process_results_C2_P1!K3+[10]Process_results_shredderC2!$G$2</f>
        <v/>
      </c>
      <c r="P3">
        <f>[9]Process_results_C2_P1!L3+[10]Process_results_shredderC2!$H$2</f>
        <v/>
      </c>
      <c r="Q3">
        <f>[9]Process_results_C2_P1!M3+[10]Process_results_shredderC2!$I$2</f>
        <v/>
      </c>
    </row>
    <row r="4" ht="34" customHeight="1">
      <c r="A4" t="inlineStr">
        <is>
          <t>Wash 1</t>
        </is>
      </c>
      <c r="B4" t="inlineStr">
        <is>
          <t>PE</t>
        </is>
      </c>
      <c r="C4" s="1" t="inlineStr">
        <is>
          <t>Tetrachloroethylene</t>
        </is>
      </c>
      <c r="D4" s="1">
        <f>[9]Process_results_C2_P1!B4+[10]Process_results_shredderC2!$B$2</f>
        <v/>
      </c>
      <c r="E4" s="1">
        <f>[9]Process_results_C2_P1!C4+[10]Process_results_shredderC2!$C$2</f>
        <v/>
      </c>
      <c r="F4">
        <f>L4</f>
        <v/>
      </c>
      <c r="G4" t="n">
        <v>0</v>
      </c>
      <c r="H4" s="1" t="n">
        <v>271.83</v>
      </c>
      <c r="I4" s="1" t="n">
        <v>24711.96</v>
      </c>
      <c r="J4" s="1" t="n">
        <v>4419.13</v>
      </c>
      <c r="K4" s="1" t="n">
        <v>0</v>
      </c>
      <c r="L4" s="1">
        <f>[9]Process_results_C2_P1!D4+[10]Process_results_shredderC2!$D$2</f>
        <v/>
      </c>
      <c r="M4" s="14">
        <f>[9]Process_results_C2_P1!I4+[10]Process_results_shredderC2!$E$2</f>
        <v/>
      </c>
      <c r="N4" s="14">
        <f>[9]Process_results_C2_P1!J4+[10]Process_results_shredderC2!$F$2</f>
        <v/>
      </c>
      <c r="O4" s="14">
        <f>[9]Process_results_C2_P1!K4+[10]Process_results_shredderC2!$G$2</f>
        <v/>
      </c>
      <c r="P4">
        <f>[9]Process_results_C2_P1!L4+[10]Process_results_shredderC2!$H$2</f>
        <v/>
      </c>
      <c r="Q4">
        <f>[9]Process_results_C2_P1!M4+[10]Process_results_shredderC2!$I$2</f>
        <v/>
      </c>
    </row>
    <row r="5" ht="17" customHeight="1">
      <c r="A5" t="inlineStr">
        <is>
          <t>Wash 1</t>
        </is>
      </c>
      <c r="B5" t="inlineStr">
        <is>
          <t>PE</t>
        </is>
      </c>
      <c r="C5" s="1" t="inlineStr">
        <is>
          <t>o-Chlorotoluene</t>
        </is>
      </c>
      <c r="D5" s="1">
        <f>[9]Process_results_C2_P1!B5+[10]Process_results_shredderC2!$B$2</f>
        <v/>
      </c>
      <c r="E5" s="1">
        <f>[9]Process_results_C2_P1!C5+[10]Process_results_shredderC2!$C$2</f>
        <v/>
      </c>
      <c r="F5">
        <f>L5</f>
        <v/>
      </c>
      <c r="G5" t="n">
        <v>0</v>
      </c>
      <c r="H5" s="1" t="n">
        <v>671.12</v>
      </c>
      <c r="I5" s="1" t="n">
        <v>61011.36</v>
      </c>
      <c r="J5" s="1" t="n">
        <v>6319.81</v>
      </c>
      <c r="K5" s="1" t="n">
        <v>0</v>
      </c>
      <c r="L5" s="1">
        <f>[9]Process_results_C2_P1!D5+[10]Process_results_shredderC2!$D$2</f>
        <v/>
      </c>
      <c r="M5" s="14">
        <f>[9]Process_results_C2_P1!I5+[10]Process_results_shredderC2!$E$2</f>
        <v/>
      </c>
      <c r="N5" s="14">
        <f>[9]Process_results_C2_P1!J5+[10]Process_results_shredderC2!$F$2</f>
        <v/>
      </c>
      <c r="O5" s="14">
        <f>[9]Process_results_C2_P1!K5+[10]Process_results_shredderC2!$G$2</f>
        <v/>
      </c>
      <c r="P5">
        <f>[9]Process_results_C2_P1!L5+[10]Process_results_shredderC2!$H$2</f>
        <v/>
      </c>
      <c r="Q5">
        <f>[9]Process_results_C2_P1!M5+[10]Process_results_shredderC2!$I$2</f>
        <v/>
      </c>
    </row>
    <row r="6" ht="34" customHeight="1">
      <c r="A6" t="inlineStr">
        <is>
          <t>Wash 1</t>
        </is>
      </c>
      <c r="B6" t="inlineStr">
        <is>
          <t>PE</t>
        </is>
      </c>
      <c r="C6" s="1" t="inlineStr">
        <is>
          <t>Methylcyclohexane</t>
        </is>
      </c>
      <c r="D6" s="1">
        <f>[9]Process_results_C2_P1!B6+[10]Process_results_shredderC2!$B$2</f>
        <v/>
      </c>
      <c r="E6" s="1">
        <f>[9]Process_results_C2_P1!C6+[10]Process_results_shredderC2!$C$2</f>
        <v/>
      </c>
      <c r="F6">
        <f>L6</f>
        <v/>
      </c>
      <c r="G6" t="n">
        <v>0</v>
      </c>
      <c r="H6" s="1" t="n">
        <v>450.63</v>
      </c>
      <c r="I6" s="1" t="n">
        <v>40966.07</v>
      </c>
      <c r="J6" s="1" t="n">
        <v>8129.51</v>
      </c>
      <c r="K6" s="1" t="n">
        <v>0</v>
      </c>
      <c r="L6" s="1">
        <f>[9]Process_results_C2_P1!D6+[10]Process_results_shredderC2!$D$2</f>
        <v/>
      </c>
      <c r="M6" s="14">
        <f>[9]Process_results_C2_P1!I6+[10]Process_results_shredderC2!$E$2</f>
        <v/>
      </c>
      <c r="N6" s="14">
        <f>[9]Process_results_C2_P1!J6+[10]Process_results_shredderC2!$F$2</f>
        <v/>
      </c>
      <c r="O6" s="14">
        <f>[9]Process_results_C2_P1!K6+[10]Process_results_shredderC2!$G$2</f>
        <v/>
      </c>
      <c r="P6">
        <f>[9]Process_results_C2_P1!L6+[10]Process_results_shredderC2!$H$2</f>
        <v/>
      </c>
      <c r="Q6">
        <f>[9]Process_results_C2_P1!M6+[10]Process_results_shredderC2!$I$2</f>
        <v/>
      </c>
    </row>
    <row r="7" ht="17" customHeight="1">
      <c r="A7" t="inlineStr">
        <is>
          <t>Wash 1</t>
        </is>
      </c>
      <c r="B7" t="inlineStr">
        <is>
          <t>PE</t>
        </is>
      </c>
      <c r="C7" s="1" t="inlineStr">
        <is>
          <t>Dodecanol</t>
        </is>
      </c>
      <c r="D7" s="1">
        <f>[9]Process_results_C2_P1!B7+[10]Process_results_shredderC2!$B$2</f>
        <v/>
      </c>
      <c r="E7" s="1">
        <f>[9]Process_results_C2_P1!C7+[10]Process_results_shredderC2!$C$2</f>
        <v/>
      </c>
      <c r="F7">
        <f>L7</f>
        <v/>
      </c>
      <c r="G7" t="n">
        <v>0</v>
      </c>
      <c r="H7" s="1" t="n">
        <v>1823.94</v>
      </c>
      <c r="I7" s="1" t="n">
        <v>165812.51</v>
      </c>
      <c r="J7" s="1" t="n">
        <v>8514.940000000001</v>
      </c>
      <c r="K7" s="1" t="n">
        <v>0</v>
      </c>
      <c r="L7" s="1">
        <f>[9]Process_results_C2_P1!D7+[10]Process_results_shredderC2!$D$2</f>
        <v/>
      </c>
      <c r="M7" s="14">
        <f>[9]Process_results_C2_P1!I7+[10]Process_results_shredderC2!$E$2</f>
        <v/>
      </c>
      <c r="N7" s="14">
        <f>[9]Process_results_C2_P1!J7+[10]Process_results_shredderC2!$F$2</f>
        <v/>
      </c>
      <c r="O7" s="14">
        <f>[9]Process_results_C2_P1!K7+[10]Process_results_shredderC2!$G$2</f>
        <v/>
      </c>
      <c r="P7">
        <f>[9]Process_results_C2_P1!L7+[10]Process_results_shredderC2!$H$2</f>
        <v/>
      </c>
      <c r="Q7">
        <f>[9]Process_results_C2_P1!M7+[10]Process_results_shredderC2!$I$2</f>
        <v/>
      </c>
    </row>
    <row r="8" ht="17" customHeight="1">
      <c r="A8" t="inlineStr">
        <is>
          <t>Wash 1</t>
        </is>
      </c>
      <c r="B8" t="inlineStr">
        <is>
          <t>PE</t>
        </is>
      </c>
      <c r="C8" s="1" t="inlineStr">
        <is>
          <t>Heptane</t>
        </is>
      </c>
      <c r="D8" s="1">
        <f>[9]Process_results_C2_P1!B8+[10]Process_results_shredderC2!$B$2</f>
        <v/>
      </c>
      <c r="E8" s="1">
        <f>[9]Process_results_C2_P1!C8+[10]Process_results_shredderC2!$C$2</f>
        <v/>
      </c>
      <c r="F8">
        <f>L8</f>
        <v/>
      </c>
      <c r="G8" t="n">
        <v>0</v>
      </c>
      <c r="H8" s="1" t="n">
        <v>477.69</v>
      </c>
      <c r="I8" s="1" t="n">
        <v>43426.62</v>
      </c>
      <c r="J8" s="1" t="n">
        <v>9006.42</v>
      </c>
      <c r="K8" s="1" t="n">
        <v>0</v>
      </c>
      <c r="L8" s="1">
        <f>[9]Process_results_C2_P1!D8+[10]Process_results_shredderC2!$D$2</f>
        <v/>
      </c>
      <c r="M8" s="14">
        <f>[9]Process_results_C2_P1!I8+[10]Process_results_shredderC2!$E$2</f>
        <v/>
      </c>
      <c r="N8" s="14">
        <f>[9]Process_results_C2_P1!J8+[10]Process_results_shredderC2!$F$2</f>
        <v/>
      </c>
      <c r="O8" s="14">
        <f>[9]Process_results_C2_P1!K8+[10]Process_results_shredderC2!$G$2</f>
        <v/>
      </c>
      <c r="P8">
        <f>[9]Process_results_C2_P1!L8+[10]Process_results_shredderC2!$H$2</f>
        <v/>
      </c>
      <c r="Q8">
        <f>[9]Process_results_C2_P1!M8+[10]Process_results_shredderC2!$I$2</f>
        <v/>
      </c>
    </row>
    <row r="9" ht="17" customHeight="1">
      <c r="A9" t="inlineStr">
        <is>
          <t>Wash 1</t>
        </is>
      </c>
      <c r="B9" t="inlineStr">
        <is>
          <t>PE</t>
        </is>
      </c>
      <c r="C9" s="1" t="inlineStr">
        <is>
          <t>Toluene</t>
        </is>
      </c>
      <c r="D9" s="1">
        <f>[9]Process_results_C2_P1!B9+[10]Process_results_shredderC2!$B$2</f>
        <v/>
      </c>
      <c r="E9" s="1">
        <f>[9]Process_results_C2_P1!C9+[10]Process_results_shredderC2!$C$2</f>
        <v/>
      </c>
      <c r="F9">
        <f>L9</f>
        <v/>
      </c>
      <c r="G9" t="n">
        <v>0</v>
      </c>
      <c r="H9" s="1" t="n">
        <v>575.6900000000001</v>
      </c>
      <c r="I9" s="1" t="n">
        <v>52335.51</v>
      </c>
      <c r="J9" s="1" t="n">
        <v>11871.24</v>
      </c>
      <c r="K9" s="1" t="n">
        <v>0</v>
      </c>
      <c r="L9" s="1">
        <f>[9]Process_results_C2_P1!D9+[10]Process_results_shredderC2!$D$2</f>
        <v/>
      </c>
      <c r="M9" s="14">
        <f>[9]Process_results_C2_P1!I9+[10]Process_results_shredderC2!$E$2</f>
        <v/>
      </c>
      <c r="N9" s="14">
        <f>[9]Process_results_C2_P1!J9+[10]Process_results_shredderC2!$F$2</f>
        <v/>
      </c>
      <c r="O9" s="14">
        <f>[9]Process_results_C2_P1!K9+[10]Process_results_shredderC2!$G$2</f>
        <v/>
      </c>
      <c r="P9">
        <f>[9]Process_results_C2_P1!L9+[10]Process_results_shredderC2!$H$2</f>
        <v/>
      </c>
      <c r="Q9">
        <f>[9]Process_results_C2_P1!M9+[10]Process_results_shredderC2!$I$2</f>
        <v/>
      </c>
    </row>
    <row r="10" ht="17" customHeight="1">
      <c r="A10" t="inlineStr">
        <is>
          <t>Wash 1</t>
        </is>
      </c>
      <c r="B10" t="inlineStr">
        <is>
          <t>PE</t>
        </is>
      </c>
      <c r="C10" s="1" t="inlineStr">
        <is>
          <t>Xylene</t>
        </is>
      </c>
      <c r="D10" s="1">
        <f>[9]Process_results_C2_P1!B10+[10]Process_results_shredderC2!$B$2</f>
        <v/>
      </c>
      <c r="E10" s="1">
        <f>[9]Process_results_C2_P1!C10+[10]Process_results_shredderC2!$C$2</f>
        <v/>
      </c>
      <c r="F10">
        <f>L10</f>
        <v/>
      </c>
      <c r="G10" t="n">
        <v>0</v>
      </c>
      <c r="H10" s="1" t="n">
        <v>689.38</v>
      </c>
      <c r="I10" s="1" t="n">
        <v>62671.13</v>
      </c>
      <c r="J10" s="1" t="n">
        <v>7294.56</v>
      </c>
      <c r="K10" s="1" t="n">
        <v>0</v>
      </c>
      <c r="L10" s="1">
        <f>[9]Process_results_C2_P1!D10+[10]Process_results_shredderC2!$D$2</f>
        <v/>
      </c>
      <c r="M10" s="14">
        <f>[9]Process_results_C2_P1!I10+[10]Process_results_shredderC2!$E$2</f>
        <v/>
      </c>
      <c r="N10" s="14">
        <f>[9]Process_results_C2_P1!J10+[10]Process_results_shredderC2!$F$2</f>
        <v/>
      </c>
      <c r="O10" s="14">
        <f>[9]Process_results_C2_P1!K10+[10]Process_results_shredderC2!$G$2</f>
        <v/>
      </c>
      <c r="P10">
        <f>[9]Process_results_C2_P1!L10+[10]Process_results_shredderC2!$H$2</f>
        <v/>
      </c>
      <c r="Q10">
        <f>[9]Process_results_C2_P1!M10+[10]Process_results_shredderC2!$I$2</f>
        <v/>
      </c>
    </row>
    <row r="11">
      <c r="A11" t="inlineStr">
        <is>
          <t>Wash 1</t>
        </is>
      </c>
      <c r="B11" t="inlineStr">
        <is>
          <t>EVOH</t>
        </is>
      </c>
      <c r="C11">
        <f>[5]Process_results_C2_E1!$A$2</f>
        <v/>
      </c>
      <c r="D11">
        <f>[5]Process_results_C2_E1!B2+[10]Process_results_shredderC2!$B$2</f>
        <v/>
      </c>
      <c r="E11">
        <f>[5]Process_results_C2_E1!C2+[10]Process_results_shredderC2!$C$2</f>
        <v/>
      </c>
      <c r="F11">
        <f>L11</f>
        <v/>
      </c>
      <c r="G11" t="n">
        <v>0</v>
      </c>
      <c r="H11">
        <f>[5]Process_results_C2_E1!G2</f>
        <v/>
      </c>
      <c r="I11">
        <f>[5]Process_results_C2_E1!H2</f>
        <v/>
      </c>
      <c r="J11">
        <f>[5]Process_results_C2_E1!E2</f>
        <v/>
      </c>
      <c r="K11" s="1" t="n">
        <v>0</v>
      </c>
      <c r="L11">
        <f>[5]Process_results_C2_E1!D2+[10]Process_results_shredderC2!$D$2</f>
        <v/>
      </c>
      <c r="M11" s="4">
        <f>[5]Process_results_C2_E1!I2+[10]Process_results_shredderC2!$E$2</f>
        <v/>
      </c>
      <c r="N11" s="4">
        <f>[5]Process_results_C2_E1!J2+[10]Process_results_shredderC2!$F$2</f>
        <v/>
      </c>
      <c r="O11" s="4">
        <f>[5]Process_results_C2_E1!K2+[10]Process_results_shredderC2!$G$2</f>
        <v/>
      </c>
      <c r="P11" s="4">
        <f>[5]Process_results_C2_E1!L2+[10]Process_results_shredderC2!$H$2</f>
        <v/>
      </c>
      <c r="Q11" s="4">
        <f>[5]Process_results_C2_E1!M2+[10]Process_results_shredderC2!$I$2</f>
        <v/>
      </c>
    </row>
    <row r="12">
      <c r="A12" t="inlineStr">
        <is>
          <t>Wash 1</t>
        </is>
      </c>
      <c r="B12" t="inlineStr">
        <is>
          <t>EVOH</t>
        </is>
      </c>
      <c r="C12" t="inlineStr">
        <is>
          <t>Pyridazine</t>
        </is>
      </c>
      <c r="D12">
        <f>[5]Process_results_C2_E1!B3+[10]Process_results_shredderC2!$B$2</f>
        <v/>
      </c>
      <c r="E12">
        <f>[5]Process_results_C2_E1!C3+[10]Process_results_shredderC2!$C$2</f>
        <v/>
      </c>
      <c r="F12">
        <f>L12</f>
        <v/>
      </c>
      <c r="G12" t="n">
        <v>0</v>
      </c>
      <c r="H12">
        <f>[5]Process_results_C2_E1!G3</f>
        <v/>
      </c>
      <c r="I12">
        <f>[5]Process_results_C2_E1!H3</f>
        <v/>
      </c>
      <c r="J12">
        <f>[5]Process_results_C2_E1!E3</f>
        <v/>
      </c>
      <c r="K12" s="1" t="n">
        <v>0</v>
      </c>
      <c r="L12">
        <f>[5]Process_results_C2_E1!D3+[10]Process_results_shredderC2!$D$2</f>
        <v/>
      </c>
      <c r="M12" s="4">
        <f>[5]Process_results_C2_E1!I3+[10]Process_results_shredderC2!$E$2</f>
        <v/>
      </c>
      <c r="N12" s="4">
        <f>[5]Process_results_C2_E1!J3+[10]Process_results_shredderC2!$F$2</f>
        <v/>
      </c>
      <c r="O12" s="4">
        <f>[5]Process_results_C2_E1!K3+[10]Process_results_shredderC2!$G$2</f>
        <v/>
      </c>
      <c r="P12" s="4">
        <f>[5]Process_results_C2_E1!L3+[10]Process_results_shredderC2!$H$2</f>
        <v/>
      </c>
      <c r="Q12" s="4">
        <f>[5]Process_results_C2_E1!M3+[10]Process_results_shredderC2!$I$2</f>
        <v/>
      </c>
    </row>
    <row r="13" ht="34" customHeight="1">
      <c r="A13" t="inlineStr">
        <is>
          <t>Wash 2</t>
        </is>
      </c>
      <c r="B13" t="inlineStr">
        <is>
          <t>PE</t>
        </is>
      </c>
      <c r="C13" s="1" t="inlineStr">
        <is>
          <t>sec-Butyl Acetate</t>
        </is>
      </c>
      <c r="D13" s="1" t="n">
        <v>4.87</v>
      </c>
      <c r="E13" s="1" t="n">
        <v>4.05</v>
      </c>
      <c r="F13">
        <f>L13</f>
        <v/>
      </c>
      <c r="G13" t="n">
        <v>0</v>
      </c>
      <c r="H13" s="1" t="n">
        <v>521.86</v>
      </c>
      <c r="I13" s="1" t="n">
        <v>47441.8</v>
      </c>
      <c r="J13" s="1" t="n">
        <v>7303.6</v>
      </c>
      <c r="K13" s="1" t="n">
        <v>0</v>
      </c>
      <c r="L13" s="1" t="n">
        <v>0.940519393495972</v>
      </c>
      <c r="M13" s="14" t="n">
        <v>2.93996488333961e-08</v>
      </c>
      <c r="N13" s="14" t="n">
        <v>9.930761098734429e-07</v>
      </c>
      <c r="O13" s="1" t="n">
        <v>21.4948826404084</v>
      </c>
      <c r="P13" s="1" t="n">
        <v>28113758.99</v>
      </c>
      <c r="Q13" s="1" t="n">
        <v>1231282.99</v>
      </c>
    </row>
    <row r="14" ht="17" customHeight="1">
      <c r="A14" t="inlineStr">
        <is>
          <t>Wash 2</t>
        </is>
      </c>
      <c r="B14" t="inlineStr">
        <is>
          <t>PE</t>
        </is>
      </c>
      <c r="C14" s="1" t="inlineStr">
        <is>
          <t>Isobutyl Acetate</t>
        </is>
      </c>
      <c r="D14" s="1" t="n">
        <v>4.85</v>
      </c>
      <c r="E14" s="1" t="n">
        <v>4.05</v>
      </c>
      <c r="F14">
        <f>L14</f>
        <v/>
      </c>
      <c r="G14" t="n">
        <v>0</v>
      </c>
      <c r="H14" s="1" t="n">
        <v>514.72</v>
      </c>
      <c r="I14" s="1" t="n">
        <v>46793.11</v>
      </c>
      <c r="J14" s="1" t="n">
        <v>7363.19</v>
      </c>
      <c r="K14" s="1" t="n">
        <v>0</v>
      </c>
      <c r="L14" s="1" t="n">
        <v>0.9387449801798931</v>
      </c>
      <c r="M14" s="14" t="n">
        <v>2.90419873037734e-08</v>
      </c>
      <c r="N14" s="14" t="n">
        <v>9.93830462517955e-07</v>
      </c>
      <c r="O14" s="1" t="n">
        <v>21.508754585606</v>
      </c>
      <c r="P14" s="1" t="n">
        <v>28381280.94</v>
      </c>
      <c r="Q14" s="1" t="n">
        <v>1236554.05</v>
      </c>
    </row>
    <row r="15" ht="34" customHeight="1">
      <c r="A15" t="inlineStr">
        <is>
          <t>Wash 2</t>
        </is>
      </c>
      <c r="B15" t="inlineStr">
        <is>
          <t>PE</t>
        </is>
      </c>
      <c r="C15" s="1" t="inlineStr">
        <is>
          <t>Tetrachloroethylene</t>
        </is>
      </c>
      <c r="D15" s="1" t="n">
        <v>4.29</v>
      </c>
      <c r="E15" s="1" t="n">
        <v>3.87</v>
      </c>
      <c r="F15">
        <f>L15</f>
        <v/>
      </c>
      <c r="G15" t="n">
        <v>0</v>
      </c>
      <c r="H15" s="1" t="n">
        <v>251.7</v>
      </c>
      <c r="I15" s="1" t="n">
        <v>22881.52</v>
      </c>
      <c r="J15" s="1" t="n">
        <v>4341.89</v>
      </c>
      <c r="K15" s="1" t="n">
        <v>0</v>
      </c>
      <c r="L15" s="1" t="n">
        <v>0.869131922196937</v>
      </c>
      <c r="M15" s="14" t="n">
        <v>2.03883423907326e-08</v>
      </c>
      <c r="N15" s="14" t="n">
        <v>9.47917154666054e-07</v>
      </c>
      <c r="O15" s="1" t="n">
        <v>20.390647583395</v>
      </c>
      <c r="P15" s="1" t="n">
        <v>23489730.15</v>
      </c>
      <c r="Q15" s="1" t="n">
        <v>1123773.82</v>
      </c>
    </row>
    <row r="16" ht="17" customHeight="1">
      <c r="A16" t="inlineStr">
        <is>
          <t>Wash 2</t>
        </is>
      </c>
      <c r="B16" t="inlineStr">
        <is>
          <t>PE</t>
        </is>
      </c>
      <c r="C16" s="1" t="inlineStr">
        <is>
          <t>o-Chlorotoluene</t>
        </is>
      </c>
      <c r="D16" s="1" t="n">
        <v>5.11</v>
      </c>
      <c r="E16" s="1" t="n">
        <v>4.04</v>
      </c>
      <c r="F16">
        <f>L16</f>
        <v/>
      </c>
      <c r="G16" t="n">
        <v>0</v>
      </c>
      <c r="H16" s="1" t="n">
        <v>638.04</v>
      </c>
      <c r="I16" s="1" t="n">
        <v>58003.45</v>
      </c>
      <c r="J16" s="1" t="n">
        <v>6226.9</v>
      </c>
      <c r="K16" s="1" t="n">
        <v>0</v>
      </c>
      <c r="L16" s="1" t="n">
        <v>0.955978230893783</v>
      </c>
      <c r="M16" s="14" t="n">
        <v>3.31222201323499e-08</v>
      </c>
      <c r="N16" s="14" t="n">
        <v>9.90357149546019e-07</v>
      </c>
      <c r="O16" s="1" t="n">
        <v>21.4697483756483</v>
      </c>
      <c r="P16" s="1" t="n">
        <v>26710193.99</v>
      </c>
      <c r="Q16" s="1" t="n">
        <v>1205102.55</v>
      </c>
    </row>
    <row r="17" ht="34" customHeight="1">
      <c r="A17" t="inlineStr">
        <is>
          <t>Wash 2</t>
        </is>
      </c>
      <c r="B17" t="inlineStr">
        <is>
          <t>PE</t>
        </is>
      </c>
      <c r="C17" s="1" t="inlineStr">
        <is>
          <t>Methylcyclohexane</t>
        </is>
      </c>
      <c r="D17" s="1" t="n">
        <v>4.63</v>
      </c>
      <c r="E17" s="1" t="n">
        <v>4.05</v>
      </c>
      <c r="F17">
        <f>L17</f>
        <v/>
      </c>
      <c r="G17" t="n">
        <v>0</v>
      </c>
      <c r="H17" s="1" t="n">
        <v>417.51</v>
      </c>
      <c r="I17" s="1" t="n">
        <v>37955.03</v>
      </c>
      <c r="J17" s="1" t="n">
        <v>8025.78</v>
      </c>
      <c r="K17" s="1" t="n">
        <v>0</v>
      </c>
      <c r="L17" s="1" t="n">
        <v>0.9153543495684759</v>
      </c>
      <c r="M17" s="14" t="n">
        <v>2.4504691584182e-08</v>
      </c>
      <c r="N17" s="14" t="n">
        <v>9.90566697104308e-07</v>
      </c>
      <c r="O17" s="1" t="n">
        <v>21.3765168297703</v>
      </c>
      <c r="P17" s="1" t="n">
        <v>29115890.54</v>
      </c>
      <c r="Q17" s="1" t="n">
        <v>1248756.46</v>
      </c>
    </row>
    <row r="18" ht="17" customHeight="1">
      <c r="A18" t="inlineStr">
        <is>
          <t>Wash 2</t>
        </is>
      </c>
      <c r="B18" t="inlineStr">
        <is>
          <t>PE</t>
        </is>
      </c>
      <c r="C18" s="1" t="inlineStr">
        <is>
          <t>Dodecanol</t>
        </is>
      </c>
      <c r="D18" s="1" t="n">
        <v>7.94</v>
      </c>
      <c r="E18" s="1" t="n">
        <v>4.41</v>
      </c>
      <c r="F18">
        <f>L18</f>
        <v/>
      </c>
      <c r="G18" t="n">
        <v>0</v>
      </c>
      <c r="H18" s="1" t="n">
        <v>1769.23</v>
      </c>
      <c r="I18" s="1" t="n">
        <v>160839.27</v>
      </c>
      <c r="J18" s="1" t="n">
        <v>8405.549999999999</v>
      </c>
      <c r="K18" s="1" t="n">
        <v>0</v>
      </c>
      <c r="L18" s="1" t="n">
        <v>1.240287528793</v>
      </c>
      <c r="M18" s="14" t="n">
        <v>7.67246361547261e-08</v>
      </c>
      <c r="N18" s="14" t="n">
        <v>1.08824274446803e-06</v>
      </c>
      <c r="O18" s="1" t="n">
        <v>24.0564660542226</v>
      </c>
      <c r="P18" s="1" t="n">
        <v>29972514.31</v>
      </c>
      <c r="Q18" s="1" t="n">
        <v>1330792.59</v>
      </c>
    </row>
    <row r="19" ht="17" customHeight="1">
      <c r="A19" t="inlineStr">
        <is>
          <t>Wash 2</t>
        </is>
      </c>
      <c r="B19" t="inlineStr">
        <is>
          <t>PE</t>
        </is>
      </c>
      <c r="C19" s="1" t="inlineStr">
        <is>
          <t>Heptane</t>
        </is>
      </c>
      <c r="D19" s="1" t="n">
        <v>4.72</v>
      </c>
      <c r="E19" s="1" t="n">
        <v>4.09</v>
      </c>
      <c r="F19">
        <f>L19</f>
        <v/>
      </c>
      <c r="G19" t="n">
        <v>0</v>
      </c>
      <c r="H19" s="1" t="n">
        <v>444.92</v>
      </c>
      <c r="I19" s="1" t="n">
        <v>40447.33</v>
      </c>
      <c r="J19" s="1" t="n">
        <v>8897.139999999999</v>
      </c>
      <c r="K19" s="1" t="n">
        <v>0</v>
      </c>
      <c r="L19" s="1" t="n">
        <v>0.924260450493297</v>
      </c>
      <c r="M19" s="14" t="n">
        <v>2.48961759772463e-08</v>
      </c>
      <c r="N19" s="14" t="n">
        <v>1.00005384319013e-06</v>
      </c>
      <c r="O19" s="1" t="n">
        <v>21.5676762636376</v>
      </c>
      <c r="P19" s="1" t="n">
        <v>30476716.83</v>
      </c>
      <c r="Q19" s="1" t="n">
        <v>1278994.21</v>
      </c>
    </row>
    <row r="20" ht="17" customHeight="1">
      <c r="A20" t="inlineStr">
        <is>
          <t>Wash 2</t>
        </is>
      </c>
      <c r="B20" t="inlineStr">
        <is>
          <t>PE</t>
        </is>
      </c>
      <c r="C20" s="1" t="inlineStr">
        <is>
          <t>Toluene</t>
        </is>
      </c>
      <c r="D20" s="1" t="n">
        <v>4.97</v>
      </c>
      <c r="E20" s="1" t="n">
        <v>4.19</v>
      </c>
      <c r="F20">
        <f>L20</f>
        <v/>
      </c>
      <c r="G20" t="n">
        <v>0</v>
      </c>
      <c r="H20" s="1" t="n">
        <v>537.28</v>
      </c>
      <c r="I20" s="1" t="n">
        <v>48843.76</v>
      </c>
      <c r="J20" s="1" t="n">
        <v>11716.23</v>
      </c>
      <c r="K20" s="1" t="n">
        <v>0</v>
      </c>
      <c r="L20" s="1" t="n">
        <v>0.959767976149042</v>
      </c>
      <c r="M20" s="14" t="n">
        <v>2.81881095053041e-08</v>
      </c>
      <c r="N20" s="14" t="n">
        <v>1.0257473868211e-06</v>
      </c>
      <c r="O20" s="1" t="n">
        <v>22.1563835602975</v>
      </c>
      <c r="P20" s="1" t="n">
        <v>33940449.63</v>
      </c>
      <c r="Q20" s="1" t="n">
        <v>1372490.14</v>
      </c>
    </row>
    <row r="21" ht="17" customHeight="1">
      <c r="A21" t="inlineStr">
        <is>
          <t>Wash 2</t>
        </is>
      </c>
      <c r="B21" t="inlineStr">
        <is>
          <t>PE</t>
        </is>
      </c>
      <c r="C21" s="1" t="inlineStr">
        <is>
          <t>Xylene</t>
        </is>
      </c>
      <c r="D21" s="1" t="n">
        <v>5.13</v>
      </c>
      <c r="E21" s="1" t="n">
        <v>4.08</v>
      </c>
      <c r="F21">
        <f>L21</f>
        <v/>
      </c>
      <c r="G21" t="n">
        <v>0</v>
      </c>
      <c r="H21" s="1" t="n">
        <v>655.87</v>
      </c>
      <c r="I21" s="1" t="n">
        <v>59624.65</v>
      </c>
      <c r="J21" s="1" t="n">
        <v>7194.85</v>
      </c>
      <c r="K21" s="1" t="n">
        <v>0</v>
      </c>
      <c r="L21" s="1" t="n">
        <v>0.9597772450315279</v>
      </c>
      <c r="M21" s="14" t="n">
        <v>3.20438224017764e-08</v>
      </c>
      <c r="N21" s="14" t="n">
        <v>9.98914492982609e-07</v>
      </c>
      <c r="O21" s="1" t="n">
        <v>21.61041806537</v>
      </c>
      <c r="P21" s="1" t="n">
        <v>28207696.22</v>
      </c>
      <c r="Q21" s="1" t="n">
        <v>1237391.16</v>
      </c>
    </row>
    <row r="22" ht="17" customHeight="1">
      <c r="A22" t="inlineStr">
        <is>
          <t>Wash 2</t>
        </is>
      </c>
      <c r="B22" t="inlineStr">
        <is>
          <t>EVOH</t>
        </is>
      </c>
      <c r="C22" s="1" t="inlineStr">
        <is>
          <t>butane-1,4-diol</t>
        </is>
      </c>
      <c r="D22" s="1" t="n">
        <v>8.81</v>
      </c>
      <c r="E22" s="1" t="n">
        <v>4.77</v>
      </c>
      <c r="F22">
        <f>L22</f>
        <v/>
      </c>
      <c r="G22" t="n">
        <v>0</v>
      </c>
      <c r="H22" s="1" t="n">
        <v>443.69</v>
      </c>
      <c r="I22" s="1" t="n">
        <v>40335.13</v>
      </c>
      <c r="J22" s="1" t="n">
        <v>1300.32</v>
      </c>
      <c r="K22" s="1" t="n">
        <v>0</v>
      </c>
      <c r="L22" s="1" t="n">
        <v>1.48808641956142</v>
      </c>
      <c r="M22" s="14" t="n">
        <v>8.86187357439646e-08</v>
      </c>
      <c r="N22" s="14" t="n">
        <v>1.17413291464e-06</v>
      </c>
      <c r="O22" s="1" t="n">
        <v>25.8612621335851</v>
      </c>
      <c r="P22" s="1" t="n">
        <v>9482279.5</v>
      </c>
      <c r="Q22" s="1" t="n">
        <v>510615.89</v>
      </c>
    </row>
    <row r="23" ht="17" customHeight="1">
      <c r="A23" t="inlineStr">
        <is>
          <t>Wash 2</t>
        </is>
      </c>
      <c r="B23" t="inlineStr">
        <is>
          <t>EVOH</t>
        </is>
      </c>
      <c r="C23" s="1" t="inlineStr">
        <is>
          <t>Diethanolamine</t>
        </is>
      </c>
      <c r="D23" s="1" t="n">
        <v>11.02</v>
      </c>
      <c r="E23" s="1" t="n">
        <v>4.97</v>
      </c>
      <c r="F23">
        <f>L23</f>
        <v/>
      </c>
      <c r="G23" t="n">
        <v>0</v>
      </c>
      <c r="H23" s="1" t="n">
        <v>576.87</v>
      </c>
      <c r="I23" s="1" t="n">
        <v>52443.16</v>
      </c>
      <c r="J23" s="1" t="n">
        <v>1159.6</v>
      </c>
      <c r="K23" s="1" t="n">
        <v>0</v>
      </c>
      <c r="L23" s="1" t="n">
        <v>1.6950809106292</v>
      </c>
      <c r="M23" s="14" t="n">
        <v>1.2267743544601e-07</v>
      </c>
      <c r="N23" s="14" t="n">
        <v>1.2238338220113e-06</v>
      </c>
      <c r="O23" s="1" t="n">
        <v>27.242115854407</v>
      </c>
      <c r="P23" s="1" t="n">
        <v>9160224.59</v>
      </c>
      <c r="Q23" s="1" t="n">
        <v>510549.5</v>
      </c>
    </row>
    <row r="24" ht="34" customHeight="1">
      <c r="A24" t="inlineStr">
        <is>
          <t>Wash 2</t>
        </is>
      </c>
      <c r="B24" t="inlineStr">
        <is>
          <t>EVOH</t>
        </is>
      </c>
      <c r="C24" s="1" t="inlineStr">
        <is>
          <t>Diethylene glycol</t>
        </is>
      </c>
      <c r="D24" s="1" t="n">
        <v>9.710000000000001</v>
      </c>
      <c r="E24" s="1" t="n">
        <v>4.83</v>
      </c>
      <c r="F24">
        <f>L24</f>
        <v/>
      </c>
      <c r="G24" t="n">
        <v>0</v>
      </c>
      <c r="H24" s="1" t="n">
        <v>471.11</v>
      </c>
      <c r="I24" s="1" t="n">
        <v>42828.59</v>
      </c>
      <c r="J24" s="1" t="n">
        <v>1138.81</v>
      </c>
      <c r="K24" s="1" t="n">
        <v>0</v>
      </c>
      <c r="L24" s="1" t="n">
        <v>1.56725093762998</v>
      </c>
      <c r="M24" s="14" t="n">
        <v>1.02243163433355e-07</v>
      </c>
      <c r="N24" s="14" t="n">
        <v>1.19004342804262e-06</v>
      </c>
      <c r="O24" s="1" t="n">
        <v>26.3186553846326</v>
      </c>
      <c r="P24" s="1" t="n">
        <v>9283735.1</v>
      </c>
      <c r="Q24" s="1" t="n">
        <v>508837.06</v>
      </c>
    </row>
    <row r="25" ht="17" customHeight="1">
      <c r="A25" t="inlineStr">
        <is>
          <t>Wash 2</t>
        </is>
      </c>
      <c r="B25" t="inlineStr">
        <is>
          <t>EVOH</t>
        </is>
      </c>
      <c r="C25" s="1" t="inlineStr">
        <is>
          <t>Ethylene Glycol</t>
        </is>
      </c>
      <c r="D25" s="1" t="n">
        <v>8.44</v>
      </c>
      <c r="E25" s="1" t="n">
        <v>4.74</v>
      </c>
      <c r="F25">
        <f>L25</f>
        <v/>
      </c>
      <c r="G25" t="n">
        <v>0</v>
      </c>
      <c r="H25" s="1" t="n">
        <v>529.99</v>
      </c>
      <c r="I25" s="1" t="n">
        <v>48181.22</v>
      </c>
      <c r="J25" s="1" t="n">
        <v>1132.86</v>
      </c>
      <c r="K25" s="1" t="n">
        <v>0</v>
      </c>
      <c r="L25" s="1" t="n">
        <v>1.44840346737893</v>
      </c>
      <c r="M25" s="14" t="n">
        <v>8.182499721017609e-08</v>
      </c>
      <c r="N25" s="14" t="n">
        <v>1.16683619375349e-06</v>
      </c>
      <c r="O25" s="1" t="n">
        <v>25.6206276893559</v>
      </c>
      <c r="P25" s="1" t="n">
        <v>9306555.27</v>
      </c>
      <c r="Q25" s="1" t="n">
        <v>505426.31</v>
      </c>
    </row>
    <row r="26" ht="34" customHeight="1">
      <c r="A26" t="inlineStr">
        <is>
          <t>Wash 2</t>
        </is>
      </c>
      <c r="B26" t="inlineStr">
        <is>
          <t>EVOH</t>
        </is>
      </c>
      <c r="C26" s="1" t="inlineStr">
        <is>
          <t>Propylene Glycol</t>
        </is>
      </c>
      <c r="D26" s="1" t="n">
        <v>8.359999999999999</v>
      </c>
      <c r="E26" s="1" t="n">
        <v>4.75</v>
      </c>
      <c r="F26">
        <f>L26</f>
        <v/>
      </c>
      <c r="G26" t="n">
        <v>0</v>
      </c>
      <c r="H26" s="1" t="n">
        <v>476.61</v>
      </c>
      <c r="I26" s="1" t="n">
        <v>43327.87</v>
      </c>
      <c r="J26" s="1" t="n">
        <v>1202.77</v>
      </c>
      <c r="K26" s="1" t="n">
        <v>0</v>
      </c>
      <c r="L26" s="1" t="n">
        <v>1.44722362412418</v>
      </c>
      <c r="M26" s="14" t="n">
        <v>8.204045706711261e-08</v>
      </c>
      <c r="N26" s="14" t="n">
        <v>1.17112960664881e-06</v>
      </c>
      <c r="O26" s="1" t="n">
        <v>25.7696676620869</v>
      </c>
      <c r="P26" s="1" t="n">
        <v>9554277.83</v>
      </c>
      <c r="Q26" s="1" t="n">
        <v>510190.23</v>
      </c>
    </row>
    <row r="27" ht="17" customHeight="1">
      <c r="A27" t="inlineStr">
        <is>
          <t>Wash 2</t>
        </is>
      </c>
      <c r="B27" t="inlineStr">
        <is>
          <t>EVOH</t>
        </is>
      </c>
      <c r="C27" s="1" t="inlineStr">
        <is>
          <t>Pyridazine</t>
        </is>
      </c>
      <c r="D27" s="1" t="n">
        <v>7.15</v>
      </c>
      <c r="E27" s="1" t="n">
        <v>4.6</v>
      </c>
      <c r="F27">
        <f>L27</f>
        <v/>
      </c>
      <c r="G27" t="n">
        <v>0</v>
      </c>
      <c r="H27" s="1" t="n">
        <v>318.68</v>
      </c>
      <c r="I27" s="1" t="n">
        <v>28970.68</v>
      </c>
      <c r="J27" s="1" t="n">
        <v>1332.07</v>
      </c>
      <c r="K27" s="1" t="n">
        <v>0</v>
      </c>
      <c r="L27" s="1" t="n">
        <v>1.34042394622251</v>
      </c>
      <c r="M27" s="14" t="n">
        <v>6.6517497779633e-08</v>
      </c>
      <c r="N27" s="14" t="n">
        <v>1.13937914097324e-06</v>
      </c>
      <c r="O27" s="1" t="n">
        <v>25.2102147692588</v>
      </c>
      <c r="P27" s="1" t="n">
        <v>9502187.93</v>
      </c>
      <c r="Q27" s="1" t="n">
        <v>506330.27</v>
      </c>
    </row>
    <row r="28" ht="34" customHeight="1">
      <c r="A28" t="inlineStr">
        <is>
          <t>Wash 2</t>
        </is>
      </c>
      <c r="B28" t="inlineStr">
        <is>
          <t>EVOH</t>
        </is>
      </c>
      <c r="C28" s="1" t="inlineStr">
        <is>
          <t>gamma-butyrolactone</t>
        </is>
      </c>
      <c r="D28" s="1" t="n">
        <v>7.32</v>
      </c>
      <c r="E28" s="1" t="n">
        <v>4.58</v>
      </c>
      <c r="F28">
        <f>L28</f>
        <v/>
      </c>
      <c r="G28" t="n">
        <v>0</v>
      </c>
      <c r="H28" s="1" t="n">
        <v>328.21</v>
      </c>
      <c r="I28" s="1" t="n">
        <v>29837.05</v>
      </c>
      <c r="J28" s="1" t="n">
        <v>1154.61</v>
      </c>
      <c r="K28" s="1" t="n">
        <v>0</v>
      </c>
      <c r="L28" s="1" t="n">
        <v>1.34394941719946</v>
      </c>
      <c r="M28" s="14" t="n">
        <v>6.65758276259302e-08</v>
      </c>
      <c r="N28" s="14" t="n">
        <v>1.13019319541178e-06</v>
      </c>
      <c r="O28" s="1" t="n">
        <v>24.7345657275538</v>
      </c>
      <c r="P28" s="1" t="n">
        <v>9094194.01</v>
      </c>
      <c r="Q28" s="1" t="n">
        <v>498435.54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P33" sqref="P33"/>
    </sheetView>
  </sheetViews>
  <sheetFormatPr baseColWidth="10" defaultRowHeight="16"/>
  <sheetData>
    <row r="1" ht="187" customHeight="1">
      <c r="A1" s="10" t="inlineStr">
        <is>
          <t>Wash number</t>
        </is>
      </c>
      <c r="B1" s="10" t="inlineStr">
        <is>
          <t>Polymer</t>
        </is>
      </c>
      <c r="C1" s="10" t="inlineStr">
        <is>
          <t>Solvents</t>
        </is>
      </c>
      <c r="D1" s="10" t="inlineStr">
        <is>
          <t>Total Energy Consumed [MJ/yr]</t>
        </is>
      </c>
      <c r="E1" s="10" t="inlineStr">
        <is>
          <t>Total Renewable Energy Consumed [MJ/yr]</t>
        </is>
      </c>
      <c r="F1" s="10" t="inlineStr">
        <is>
          <t>Total Direct GHG emissions [Scope 1] [metric tons CO2 equivalent [tCO2e/yr]]</t>
        </is>
      </c>
      <c r="G1" s="10" t="inlineStr">
        <is>
          <t>Total Energy indirect GHG emissions (Scope 2) [metric tons CO2 equivalent (t CO2e/yr)]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Disposal[ton/yr]</t>
        </is>
      </c>
      <c r="L1" s="10" t="inlineStr">
        <is>
          <t>GWP [tonCO2e/yr]</t>
        </is>
      </c>
      <c r="M1" s="10" t="inlineStr">
        <is>
          <t>Human toxicity cancer [CTUh/yr]</t>
        </is>
      </c>
      <c r="N1" s="10" t="inlineStr">
        <is>
          <t>Human toxicity non-cancer [CTUh/yr]</t>
        </is>
      </c>
      <c r="O1" s="10" t="inlineStr">
        <is>
          <t>Ecotoxicity [CTUe/yr]</t>
        </is>
      </c>
      <c r="P1" s="10" t="inlineStr">
        <is>
          <t>CAPEX [USD/yr]</t>
        </is>
      </c>
      <c r="Q1" s="10" t="inlineStr">
        <is>
          <t>OPEX [USD/yr]</t>
        </is>
      </c>
    </row>
    <row r="2">
      <c r="A2">
        <f>StrapScenario2!A2</f>
        <v/>
      </c>
      <c r="B2">
        <f>StrapScenario2!B2</f>
        <v/>
      </c>
      <c r="C2">
        <f>StrapScenario2!C2</f>
        <v/>
      </c>
      <c r="D2">
        <f>StrapScenario2!D2*'[1]New UBs'!$E$50</f>
        <v/>
      </c>
      <c r="E2">
        <f>'StrapScenario2 Units elec'!E2*0.12</f>
        <v/>
      </c>
      <c r="F2">
        <f>L2</f>
        <v/>
      </c>
      <c r="G2">
        <f>StrapScenario2!G2</f>
        <v/>
      </c>
      <c r="H2">
        <f>StrapScenario2!H2</f>
        <v/>
      </c>
      <c r="I2">
        <f>StrapScenario2!I2</f>
        <v/>
      </c>
      <c r="J2" s="24">
        <f>StrapScenario2!J2</f>
        <v/>
      </c>
      <c r="K2">
        <f>StrapScenario2!K2</f>
        <v/>
      </c>
      <c r="L2">
        <f>StrapScenario2!L2*'[1]New UBs'!$E$50/1000</f>
        <v/>
      </c>
      <c r="M2" s="4">
        <f>StrapScenario2!M2*'[1]New UBs'!$E$50</f>
        <v/>
      </c>
      <c r="N2" s="4">
        <f>StrapScenario2!N2*'[1]New UBs'!$E$50</f>
        <v/>
      </c>
      <c r="O2" s="4">
        <f>StrapScenario2!O2*'[1]New UBs'!$E$50</f>
        <v/>
      </c>
      <c r="P2" s="4">
        <f>StrapScenario2!P2/20</f>
        <v/>
      </c>
      <c r="Q2" s="4">
        <f>StrapScenario2!Q2</f>
        <v/>
      </c>
    </row>
    <row r="3">
      <c r="A3">
        <f>StrapScenario2!A3</f>
        <v/>
      </c>
      <c r="B3">
        <f>StrapScenario2!B3</f>
        <v/>
      </c>
      <c r="C3">
        <f>StrapScenario2!C3</f>
        <v/>
      </c>
      <c r="D3">
        <f>StrapScenario2!D3*'[1]New UBs'!$E$50</f>
        <v/>
      </c>
      <c r="E3">
        <f>'StrapScenario2 Units elec'!E3*0.12</f>
        <v/>
      </c>
      <c r="F3">
        <f>L3</f>
        <v/>
      </c>
      <c r="G3">
        <f>StrapScenario2!G3</f>
        <v/>
      </c>
      <c r="H3">
        <f>StrapScenario2!H3</f>
        <v/>
      </c>
      <c r="I3">
        <f>StrapScenario2!I3</f>
        <v/>
      </c>
      <c r="J3" s="24">
        <f>StrapScenario2!J3</f>
        <v/>
      </c>
      <c r="K3">
        <f>StrapScenario2!K3</f>
        <v/>
      </c>
      <c r="L3">
        <f>StrapScenario2!L3*'[1]New UBs'!$E$50/1000</f>
        <v/>
      </c>
      <c r="M3" s="4">
        <f>StrapScenario2!M3*'[1]New UBs'!$E$50</f>
        <v/>
      </c>
      <c r="N3" s="4">
        <f>StrapScenario2!N3*'[1]New UBs'!$E$50</f>
        <v/>
      </c>
      <c r="O3" s="4">
        <f>StrapScenario2!O3*'[1]New UBs'!$E$50</f>
        <v/>
      </c>
      <c r="P3" s="4">
        <f>StrapScenario2!P3/20</f>
        <v/>
      </c>
      <c r="Q3" s="4">
        <f>StrapScenario2!Q3</f>
        <v/>
      </c>
    </row>
    <row r="4">
      <c r="A4">
        <f>StrapScenario2!A4</f>
        <v/>
      </c>
      <c r="B4">
        <f>StrapScenario2!B4</f>
        <v/>
      </c>
      <c r="C4">
        <f>StrapScenario2!C4</f>
        <v/>
      </c>
      <c r="D4">
        <f>StrapScenario2!D4*'[1]New UBs'!$E$50</f>
        <v/>
      </c>
      <c r="E4">
        <f>'StrapScenario2 Units elec'!E4*0.12</f>
        <v/>
      </c>
      <c r="F4">
        <f>L4</f>
        <v/>
      </c>
      <c r="G4">
        <f>StrapScenario2!G4</f>
        <v/>
      </c>
      <c r="H4">
        <f>StrapScenario2!H4</f>
        <v/>
      </c>
      <c r="I4">
        <f>StrapScenario2!I4</f>
        <v/>
      </c>
      <c r="J4" s="24">
        <f>StrapScenario2!J4</f>
        <v/>
      </c>
      <c r="K4">
        <f>StrapScenario2!K4</f>
        <v/>
      </c>
      <c r="L4">
        <f>StrapScenario2!L4*'[1]New UBs'!$E$50/1000</f>
        <v/>
      </c>
      <c r="M4" s="4">
        <f>StrapScenario2!M4*'[1]New UBs'!$E$50</f>
        <v/>
      </c>
      <c r="N4" s="4">
        <f>StrapScenario2!N4*'[1]New UBs'!$E$50</f>
        <v/>
      </c>
      <c r="O4" s="4">
        <f>StrapScenario2!O4*'[1]New UBs'!$E$50</f>
        <v/>
      </c>
      <c r="P4" s="4">
        <f>StrapScenario2!P4/20</f>
        <v/>
      </c>
      <c r="Q4" s="4">
        <f>StrapScenario2!Q4</f>
        <v/>
      </c>
    </row>
    <row r="5">
      <c r="A5">
        <f>StrapScenario2!A5</f>
        <v/>
      </c>
      <c r="B5">
        <f>StrapScenario2!B5</f>
        <v/>
      </c>
      <c r="C5">
        <f>StrapScenario2!C5</f>
        <v/>
      </c>
      <c r="D5">
        <f>StrapScenario2!D5*'[1]New UBs'!$E$50</f>
        <v/>
      </c>
      <c r="E5">
        <f>'StrapScenario2 Units elec'!E5*0.12</f>
        <v/>
      </c>
      <c r="F5">
        <f>L5</f>
        <v/>
      </c>
      <c r="G5">
        <f>StrapScenario2!G5</f>
        <v/>
      </c>
      <c r="H5">
        <f>StrapScenario2!H5</f>
        <v/>
      </c>
      <c r="I5">
        <f>StrapScenario2!I5</f>
        <v/>
      </c>
      <c r="J5" s="24">
        <f>StrapScenario2!J5</f>
        <v/>
      </c>
      <c r="K5">
        <f>StrapScenario2!K5</f>
        <v/>
      </c>
      <c r="L5">
        <f>StrapScenario2!L5*'[1]New UBs'!$E$50/1000</f>
        <v/>
      </c>
      <c r="M5" s="4">
        <f>StrapScenario2!M5*'[1]New UBs'!$E$50</f>
        <v/>
      </c>
      <c r="N5" s="4">
        <f>StrapScenario2!N5*'[1]New UBs'!$E$50</f>
        <v/>
      </c>
      <c r="O5" s="4">
        <f>StrapScenario2!O5*'[1]New UBs'!$E$50</f>
        <v/>
      </c>
      <c r="P5" s="4">
        <f>StrapScenario2!P5/20</f>
        <v/>
      </c>
      <c r="Q5" s="4">
        <f>StrapScenario2!Q5</f>
        <v/>
      </c>
    </row>
    <row r="6">
      <c r="A6">
        <f>StrapScenario2!A6</f>
        <v/>
      </c>
      <c r="B6">
        <f>StrapScenario2!B6</f>
        <v/>
      </c>
      <c r="C6">
        <f>StrapScenario2!C6</f>
        <v/>
      </c>
      <c r="D6">
        <f>StrapScenario2!D6*'[1]New UBs'!$E$50</f>
        <v/>
      </c>
      <c r="E6">
        <f>'StrapScenario2 Units elec'!E6*0.12</f>
        <v/>
      </c>
      <c r="F6">
        <f>L6</f>
        <v/>
      </c>
      <c r="G6">
        <f>StrapScenario2!G6</f>
        <v/>
      </c>
      <c r="H6">
        <f>StrapScenario2!H6</f>
        <v/>
      </c>
      <c r="I6">
        <f>StrapScenario2!I6</f>
        <v/>
      </c>
      <c r="J6" s="24">
        <f>StrapScenario2!J6</f>
        <v/>
      </c>
      <c r="K6">
        <f>StrapScenario2!K6</f>
        <v/>
      </c>
      <c r="L6">
        <f>StrapScenario2!L6*'[1]New UBs'!$E$50/1000</f>
        <v/>
      </c>
      <c r="M6" s="4">
        <f>StrapScenario2!M6*'[1]New UBs'!$E$50</f>
        <v/>
      </c>
      <c r="N6" s="4">
        <f>StrapScenario2!N6*'[1]New UBs'!$E$50</f>
        <v/>
      </c>
      <c r="O6" s="4">
        <f>StrapScenario2!O6*'[1]New UBs'!$E$50</f>
        <v/>
      </c>
      <c r="P6" s="4">
        <f>StrapScenario2!P6/20</f>
        <v/>
      </c>
      <c r="Q6" s="4">
        <f>StrapScenario2!Q6</f>
        <v/>
      </c>
    </row>
    <row r="7">
      <c r="A7">
        <f>StrapScenario2!A7</f>
        <v/>
      </c>
      <c r="B7">
        <f>StrapScenario2!B7</f>
        <v/>
      </c>
      <c r="C7">
        <f>StrapScenario2!C7</f>
        <v/>
      </c>
      <c r="D7">
        <f>StrapScenario2!D7*'[1]New UBs'!$E$50</f>
        <v/>
      </c>
      <c r="E7">
        <f>'StrapScenario2 Units elec'!E7*0.12</f>
        <v/>
      </c>
      <c r="F7">
        <f>L7</f>
        <v/>
      </c>
      <c r="G7">
        <f>StrapScenario2!G7</f>
        <v/>
      </c>
      <c r="H7">
        <f>StrapScenario2!H7</f>
        <v/>
      </c>
      <c r="I7">
        <f>StrapScenario2!I7</f>
        <v/>
      </c>
      <c r="J7" s="24">
        <f>StrapScenario2!J7</f>
        <v/>
      </c>
      <c r="K7">
        <f>StrapScenario2!K7</f>
        <v/>
      </c>
      <c r="L7">
        <f>StrapScenario2!L7*'[1]New UBs'!$E$50/1000</f>
        <v/>
      </c>
      <c r="M7" s="4">
        <f>StrapScenario2!M7*'[1]New UBs'!$E$50</f>
        <v/>
      </c>
      <c r="N7" s="4">
        <f>StrapScenario2!N7*'[1]New UBs'!$E$50</f>
        <v/>
      </c>
      <c r="O7" s="4">
        <f>StrapScenario2!O7*'[1]New UBs'!$E$50</f>
        <v/>
      </c>
      <c r="P7" s="4">
        <f>StrapScenario2!P7/20</f>
        <v/>
      </c>
      <c r="Q7" s="4">
        <f>StrapScenario2!Q7</f>
        <v/>
      </c>
    </row>
    <row r="8">
      <c r="A8">
        <f>StrapScenario2!A8</f>
        <v/>
      </c>
      <c r="B8">
        <f>StrapScenario2!B8</f>
        <v/>
      </c>
      <c r="C8">
        <f>StrapScenario2!C8</f>
        <v/>
      </c>
      <c r="D8">
        <f>StrapScenario2!D8*'[1]New UBs'!$E$50</f>
        <v/>
      </c>
      <c r="E8">
        <f>'StrapScenario2 Units elec'!E8*0.12</f>
        <v/>
      </c>
      <c r="F8">
        <f>L8</f>
        <v/>
      </c>
      <c r="G8">
        <f>StrapScenario2!G8</f>
        <v/>
      </c>
      <c r="H8">
        <f>StrapScenario2!H8</f>
        <v/>
      </c>
      <c r="I8">
        <f>StrapScenario2!I8</f>
        <v/>
      </c>
      <c r="J8" s="24">
        <f>StrapScenario2!J8</f>
        <v/>
      </c>
      <c r="K8">
        <f>StrapScenario2!K8</f>
        <v/>
      </c>
      <c r="L8">
        <f>StrapScenario2!L8*'[1]New UBs'!$E$50/1000</f>
        <v/>
      </c>
      <c r="M8" s="4">
        <f>StrapScenario2!M8*'[1]New UBs'!$E$50</f>
        <v/>
      </c>
      <c r="N8" s="4">
        <f>StrapScenario2!N8*'[1]New UBs'!$E$50</f>
        <v/>
      </c>
      <c r="O8" s="4">
        <f>StrapScenario2!O8*'[1]New UBs'!$E$50</f>
        <v/>
      </c>
      <c r="P8" s="4">
        <f>StrapScenario2!P8/20</f>
        <v/>
      </c>
      <c r="Q8" s="4">
        <f>StrapScenario2!Q8</f>
        <v/>
      </c>
    </row>
    <row r="9">
      <c r="A9">
        <f>StrapScenario2!A9</f>
        <v/>
      </c>
      <c r="B9">
        <f>StrapScenario2!B9</f>
        <v/>
      </c>
      <c r="C9">
        <f>StrapScenario2!C9</f>
        <v/>
      </c>
      <c r="D9">
        <f>StrapScenario2!D9*'[1]New UBs'!$E$50</f>
        <v/>
      </c>
      <c r="E9">
        <f>'StrapScenario2 Units elec'!E9*0.12</f>
        <v/>
      </c>
      <c r="F9">
        <f>L9</f>
        <v/>
      </c>
      <c r="G9">
        <f>StrapScenario2!G9</f>
        <v/>
      </c>
      <c r="H9">
        <f>StrapScenario2!H9</f>
        <v/>
      </c>
      <c r="I9">
        <f>StrapScenario2!I9</f>
        <v/>
      </c>
      <c r="J9" s="24">
        <f>StrapScenario2!J9</f>
        <v/>
      </c>
      <c r="K9">
        <f>StrapScenario2!K9</f>
        <v/>
      </c>
      <c r="L9">
        <f>StrapScenario2!L9*'[1]New UBs'!$E$50/1000</f>
        <v/>
      </c>
      <c r="M9" s="4">
        <f>StrapScenario2!M9*'[1]New UBs'!$E$50</f>
        <v/>
      </c>
      <c r="N9" s="4">
        <f>StrapScenario2!N9*'[1]New UBs'!$E$50</f>
        <v/>
      </c>
      <c r="O9" s="4">
        <f>StrapScenario2!O9*'[1]New UBs'!$E$50</f>
        <v/>
      </c>
      <c r="P9" s="4">
        <f>StrapScenario2!P9/20</f>
        <v/>
      </c>
      <c r="Q9" s="4">
        <f>StrapScenario2!Q9</f>
        <v/>
      </c>
    </row>
    <row r="10">
      <c r="A10">
        <f>StrapScenario2!A10</f>
        <v/>
      </c>
      <c r="B10">
        <f>StrapScenario2!B10</f>
        <v/>
      </c>
      <c r="C10">
        <f>StrapScenario2!C10</f>
        <v/>
      </c>
      <c r="D10">
        <f>StrapScenario2!D10*'[1]New UBs'!$E$50</f>
        <v/>
      </c>
      <c r="E10">
        <f>'StrapScenario2 Units elec'!E10*0.12</f>
        <v/>
      </c>
      <c r="F10">
        <f>L10</f>
        <v/>
      </c>
      <c r="G10">
        <f>StrapScenario2!G10</f>
        <v/>
      </c>
      <c r="H10">
        <f>StrapScenario2!H10</f>
        <v/>
      </c>
      <c r="I10">
        <f>StrapScenario2!I10</f>
        <v/>
      </c>
      <c r="J10" s="24">
        <f>StrapScenario2!J10</f>
        <v/>
      </c>
      <c r="K10">
        <f>StrapScenario2!K10</f>
        <v/>
      </c>
      <c r="L10">
        <f>StrapScenario2!L10*'[1]New UBs'!$E$50/1000</f>
        <v/>
      </c>
      <c r="M10" s="4">
        <f>StrapScenario2!M10*'[1]New UBs'!$E$50</f>
        <v/>
      </c>
      <c r="N10" s="4">
        <f>StrapScenario2!N10*'[1]New UBs'!$E$50</f>
        <v/>
      </c>
      <c r="O10" s="4">
        <f>StrapScenario2!O10*'[1]New UBs'!$E$50</f>
        <v/>
      </c>
      <c r="P10" s="4">
        <f>StrapScenario2!P10/20</f>
        <v/>
      </c>
      <c r="Q10" s="4">
        <f>StrapScenario2!Q10</f>
        <v/>
      </c>
    </row>
    <row r="11">
      <c r="A11">
        <f>StrapScenario2!A11</f>
        <v/>
      </c>
      <c r="B11">
        <f>StrapScenario2!B11</f>
        <v/>
      </c>
      <c r="C11">
        <f>StrapScenario2!C11</f>
        <v/>
      </c>
      <c r="D11">
        <f>StrapScenario2!D11*'[1]New UBs'!$E$51</f>
        <v/>
      </c>
      <c r="E11">
        <f>'StrapScenario2 Units elec'!E11*0.12</f>
        <v/>
      </c>
      <c r="F11">
        <f>L11</f>
        <v/>
      </c>
      <c r="G11">
        <f>StrapScenario2!G11</f>
        <v/>
      </c>
      <c r="H11">
        <f>StrapScenario2!H11</f>
        <v/>
      </c>
      <c r="I11">
        <f>StrapScenario2!I11</f>
        <v/>
      </c>
      <c r="J11" s="24">
        <f>StrapScenario2!J11</f>
        <v/>
      </c>
      <c r="K11">
        <f>StrapScenario2!K11</f>
        <v/>
      </c>
      <c r="L11">
        <f>StrapScenario2!L11*'[1]New UBs'!$E$51/1000</f>
        <v/>
      </c>
      <c r="M11" s="4">
        <f>StrapScenario2!M11*'[1]New UBs'!$E$51</f>
        <v/>
      </c>
      <c r="N11" s="4">
        <f>StrapScenario2!N11*'[1]New UBs'!$E$51</f>
        <v/>
      </c>
      <c r="O11" s="4">
        <f>StrapScenario2!O11*'[1]New UBs'!$E$51</f>
        <v/>
      </c>
      <c r="P11" s="4">
        <f>StrapScenario2!P11/20</f>
        <v/>
      </c>
      <c r="Q11" s="4">
        <f>StrapScenario2!Q11</f>
        <v/>
      </c>
    </row>
    <row r="12">
      <c r="A12">
        <f>StrapScenario2!A12</f>
        <v/>
      </c>
      <c r="B12">
        <f>StrapScenario2!B12</f>
        <v/>
      </c>
      <c r="C12">
        <f>StrapScenario2!C12</f>
        <v/>
      </c>
      <c r="D12">
        <f>StrapScenario2!D12*'[1]New UBs'!$E$51</f>
        <v/>
      </c>
      <c r="E12">
        <f>'StrapScenario2 Units elec'!E12*0.12</f>
        <v/>
      </c>
      <c r="F12">
        <f>L12</f>
        <v/>
      </c>
      <c r="G12">
        <f>StrapScenario2!G12</f>
        <v/>
      </c>
      <c r="H12">
        <f>StrapScenario2!H12</f>
        <v/>
      </c>
      <c r="I12">
        <f>StrapScenario2!I12</f>
        <v/>
      </c>
      <c r="J12" s="24">
        <f>StrapScenario2!J12</f>
        <v/>
      </c>
      <c r="K12">
        <f>StrapScenario2!K12</f>
        <v/>
      </c>
      <c r="L12">
        <f>StrapScenario2!L12*'[1]New UBs'!$E$51/1000</f>
        <v/>
      </c>
      <c r="M12" s="4">
        <f>StrapScenario2!M12*'[1]New UBs'!$E$51</f>
        <v/>
      </c>
      <c r="N12" s="4">
        <f>StrapScenario2!N12*'[1]New UBs'!$E$51</f>
        <v/>
      </c>
      <c r="O12" s="4">
        <f>StrapScenario2!O12*'[1]New UBs'!$E$51</f>
        <v/>
      </c>
      <c r="P12" s="4">
        <f>StrapScenario2!P12/20</f>
        <v/>
      </c>
      <c r="Q12" s="4">
        <f>StrapScenario2!Q12</f>
        <v/>
      </c>
      <c r="V12" s="4" t="n"/>
      <c r="W12" s="4" t="n"/>
    </row>
    <row r="13">
      <c r="A13">
        <f>StrapScenario2!A13</f>
        <v/>
      </c>
      <c r="B13">
        <f>StrapScenario2!B13</f>
        <v/>
      </c>
      <c r="C13">
        <f>StrapScenario2!C13</f>
        <v/>
      </c>
      <c r="D13">
        <f>StrapScenario2!D13*'[1]New UBs'!$J$51</f>
        <v/>
      </c>
      <c r="E13">
        <f>'StrapScenario2 Units elec'!E13*0.12</f>
        <v/>
      </c>
      <c r="F13">
        <f>L13</f>
        <v/>
      </c>
      <c r="G13">
        <f>StrapScenario2!G13</f>
        <v/>
      </c>
      <c r="H13">
        <f>StrapScenario2!H13</f>
        <v/>
      </c>
      <c r="I13">
        <f>StrapScenario2!I13</f>
        <v/>
      </c>
      <c r="J13" s="24">
        <f>StrapScenario2!J13</f>
        <v/>
      </c>
      <c r="K13">
        <f>StrapScenario2!K13</f>
        <v/>
      </c>
      <c r="L13">
        <f>StrapScenario2!L13*'[1]New UBs'!$J$51/1000</f>
        <v/>
      </c>
      <c r="M13" s="4">
        <f>StrapScenario2!M13*'[1]New UBs'!$J$51</f>
        <v/>
      </c>
      <c r="N13" s="4">
        <f>StrapScenario2!N13*'[1]New UBs'!$J$51</f>
        <v/>
      </c>
      <c r="O13" s="4">
        <f>StrapScenario2!O13*'[1]New UBs'!$J$51</f>
        <v/>
      </c>
      <c r="P13" s="4">
        <f>StrapScenario2!P13/20</f>
        <v/>
      </c>
      <c r="Q13" s="4">
        <f>StrapScenario2!Q13</f>
        <v/>
      </c>
    </row>
    <row r="14">
      <c r="A14">
        <f>StrapScenario2!A14</f>
        <v/>
      </c>
      <c r="B14">
        <f>StrapScenario2!B14</f>
        <v/>
      </c>
      <c r="C14">
        <f>StrapScenario2!C14</f>
        <v/>
      </c>
      <c r="D14">
        <f>StrapScenario2!D14*'[1]New UBs'!$J$51</f>
        <v/>
      </c>
      <c r="E14">
        <f>'StrapScenario2 Units elec'!E14*0.12</f>
        <v/>
      </c>
      <c r="F14">
        <f>L14</f>
        <v/>
      </c>
      <c r="G14">
        <f>StrapScenario2!G14</f>
        <v/>
      </c>
      <c r="H14">
        <f>StrapScenario2!H14</f>
        <v/>
      </c>
      <c r="I14">
        <f>StrapScenario2!I14</f>
        <v/>
      </c>
      <c r="J14" s="24">
        <f>StrapScenario2!J14</f>
        <v/>
      </c>
      <c r="K14">
        <f>StrapScenario2!K14</f>
        <v/>
      </c>
      <c r="L14">
        <f>StrapScenario2!L14*'[1]New UBs'!$J$51/1000</f>
        <v/>
      </c>
      <c r="M14" s="4">
        <f>StrapScenario2!M14*'[1]New UBs'!$J$51</f>
        <v/>
      </c>
      <c r="N14" s="4">
        <f>StrapScenario2!N14*'[1]New UBs'!$J$51</f>
        <v/>
      </c>
      <c r="O14" s="4">
        <f>StrapScenario2!O14*'[1]New UBs'!$J$51</f>
        <v/>
      </c>
      <c r="P14" s="4">
        <f>StrapScenario2!P14/20</f>
        <v/>
      </c>
      <c r="Q14" s="4">
        <f>StrapScenario2!Q14</f>
        <v/>
      </c>
    </row>
    <row r="15">
      <c r="A15">
        <f>StrapScenario2!A15</f>
        <v/>
      </c>
      <c r="B15">
        <f>StrapScenario2!B15</f>
        <v/>
      </c>
      <c r="C15">
        <f>StrapScenario2!C15</f>
        <v/>
      </c>
      <c r="D15">
        <f>StrapScenario2!D15*'[1]New UBs'!$J$51</f>
        <v/>
      </c>
      <c r="E15">
        <f>'StrapScenario2 Units elec'!E15*0.12</f>
        <v/>
      </c>
      <c r="F15">
        <f>L15</f>
        <v/>
      </c>
      <c r="G15">
        <f>StrapScenario2!G15</f>
        <v/>
      </c>
      <c r="H15">
        <f>StrapScenario2!H15</f>
        <v/>
      </c>
      <c r="I15">
        <f>StrapScenario2!I15</f>
        <v/>
      </c>
      <c r="J15" s="24">
        <f>StrapScenario2!J15</f>
        <v/>
      </c>
      <c r="K15">
        <f>StrapScenario2!K15</f>
        <v/>
      </c>
      <c r="L15">
        <f>StrapScenario2!L15*'[1]New UBs'!$J$51/1000</f>
        <v/>
      </c>
      <c r="M15" s="4">
        <f>StrapScenario2!M15*'[1]New UBs'!$J$51</f>
        <v/>
      </c>
      <c r="N15" s="4">
        <f>StrapScenario2!N15*'[1]New UBs'!$J$51</f>
        <v/>
      </c>
      <c r="O15" s="4">
        <f>StrapScenario2!O15*'[1]New UBs'!$J$51</f>
        <v/>
      </c>
      <c r="P15" s="4">
        <f>StrapScenario2!P15/20</f>
        <v/>
      </c>
      <c r="Q15" s="4">
        <f>StrapScenario2!Q15</f>
        <v/>
      </c>
    </row>
    <row r="16">
      <c r="A16">
        <f>StrapScenario2!A16</f>
        <v/>
      </c>
      <c r="B16">
        <f>StrapScenario2!B16</f>
        <v/>
      </c>
      <c r="C16">
        <f>StrapScenario2!C16</f>
        <v/>
      </c>
      <c r="D16">
        <f>StrapScenario2!D16*'[1]New UBs'!$J$51</f>
        <v/>
      </c>
      <c r="E16">
        <f>'StrapScenario2 Units elec'!E16*0.12</f>
        <v/>
      </c>
      <c r="F16">
        <f>L16</f>
        <v/>
      </c>
      <c r="G16">
        <f>StrapScenario2!G16</f>
        <v/>
      </c>
      <c r="H16">
        <f>StrapScenario2!H16</f>
        <v/>
      </c>
      <c r="I16">
        <f>StrapScenario2!I16</f>
        <v/>
      </c>
      <c r="J16" s="24">
        <f>StrapScenario2!J16</f>
        <v/>
      </c>
      <c r="K16">
        <f>StrapScenario2!K16</f>
        <v/>
      </c>
      <c r="L16">
        <f>StrapScenario2!L16*'[1]New UBs'!$J$51/1000</f>
        <v/>
      </c>
      <c r="M16" s="4">
        <f>StrapScenario2!M16*'[1]New UBs'!$J$51</f>
        <v/>
      </c>
      <c r="N16" s="4">
        <f>StrapScenario2!N16*'[1]New UBs'!$J$51</f>
        <v/>
      </c>
      <c r="O16" s="4">
        <f>StrapScenario2!O16*'[1]New UBs'!$J$51</f>
        <v/>
      </c>
      <c r="P16" s="4">
        <f>StrapScenario2!P16/20</f>
        <v/>
      </c>
      <c r="Q16" s="4">
        <f>StrapScenario2!Q16</f>
        <v/>
      </c>
    </row>
    <row r="17">
      <c r="A17">
        <f>StrapScenario2!A17</f>
        <v/>
      </c>
      <c r="B17">
        <f>StrapScenario2!B17</f>
        <v/>
      </c>
      <c r="C17">
        <f>StrapScenario2!C17</f>
        <v/>
      </c>
      <c r="D17">
        <f>StrapScenario2!D17*'[1]New UBs'!$J$51</f>
        <v/>
      </c>
      <c r="E17">
        <f>'StrapScenario2 Units elec'!E17*0.12</f>
        <v/>
      </c>
      <c r="F17">
        <f>L17</f>
        <v/>
      </c>
      <c r="G17">
        <f>StrapScenario2!G17</f>
        <v/>
      </c>
      <c r="H17">
        <f>StrapScenario2!H17</f>
        <v/>
      </c>
      <c r="I17">
        <f>StrapScenario2!I17</f>
        <v/>
      </c>
      <c r="J17" s="24">
        <f>StrapScenario2!J17</f>
        <v/>
      </c>
      <c r="K17">
        <f>StrapScenario2!K17</f>
        <v/>
      </c>
      <c r="L17">
        <f>StrapScenario2!L17*'[1]New UBs'!$J$51/1000</f>
        <v/>
      </c>
      <c r="M17" s="4">
        <f>StrapScenario2!M17*'[1]New UBs'!$J$51</f>
        <v/>
      </c>
      <c r="N17" s="4">
        <f>StrapScenario2!N17*'[1]New UBs'!$J$51</f>
        <v/>
      </c>
      <c r="O17" s="4">
        <f>StrapScenario2!O17*'[1]New UBs'!$J$51</f>
        <v/>
      </c>
      <c r="P17" s="4">
        <f>StrapScenario2!P17/20</f>
        <v/>
      </c>
      <c r="Q17" s="4">
        <f>StrapScenario2!Q17</f>
        <v/>
      </c>
    </row>
    <row r="18">
      <c r="A18">
        <f>StrapScenario2!A18</f>
        <v/>
      </c>
      <c r="B18">
        <f>StrapScenario2!B18</f>
        <v/>
      </c>
      <c r="C18">
        <f>StrapScenario2!C18</f>
        <v/>
      </c>
      <c r="D18">
        <f>StrapScenario2!D18*'[1]New UBs'!$J$51</f>
        <v/>
      </c>
      <c r="E18">
        <f>'StrapScenario2 Units elec'!E18*0.12</f>
        <v/>
      </c>
      <c r="F18">
        <f>L18</f>
        <v/>
      </c>
      <c r="G18">
        <f>StrapScenario2!G18</f>
        <v/>
      </c>
      <c r="H18">
        <f>StrapScenario2!H18</f>
        <v/>
      </c>
      <c r="I18">
        <f>StrapScenario2!I18</f>
        <v/>
      </c>
      <c r="J18" s="24">
        <f>StrapScenario2!J18</f>
        <v/>
      </c>
      <c r="K18">
        <f>StrapScenario2!K18</f>
        <v/>
      </c>
      <c r="L18">
        <f>StrapScenario2!L18*'[1]New UBs'!$J$51/1000</f>
        <v/>
      </c>
      <c r="M18" s="4">
        <f>StrapScenario2!M18*'[1]New UBs'!$J$51</f>
        <v/>
      </c>
      <c r="N18" s="4">
        <f>StrapScenario2!N18*'[1]New UBs'!$J$51</f>
        <v/>
      </c>
      <c r="O18" s="4">
        <f>StrapScenario2!O18*'[1]New UBs'!$J$51</f>
        <v/>
      </c>
      <c r="P18" s="4">
        <f>StrapScenario2!P18/20</f>
        <v/>
      </c>
      <c r="Q18" s="4">
        <f>StrapScenario2!Q18</f>
        <v/>
      </c>
    </row>
    <row r="19">
      <c r="A19">
        <f>StrapScenario2!A19</f>
        <v/>
      </c>
      <c r="B19">
        <f>StrapScenario2!B19</f>
        <v/>
      </c>
      <c r="C19">
        <f>StrapScenario2!C19</f>
        <v/>
      </c>
      <c r="D19">
        <f>StrapScenario2!D19*'[1]New UBs'!$J$51</f>
        <v/>
      </c>
      <c r="E19">
        <f>'StrapScenario2 Units elec'!E19*0.12</f>
        <v/>
      </c>
      <c r="F19">
        <f>L19</f>
        <v/>
      </c>
      <c r="G19">
        <f>StrapScenario2!G19</f>
        <v/>
      </c>
      <c r="H19">
        <f>StrapScenario2!H19</f>
        <v/>
      </c>
      <c r="I19">
        <f>StrapScenario2!I19</f>
        <v/>
      </c>
      <c r="J19" s="24">
        <f>StrapScenario2!J19</f>
        <v/>
      </c>
      <c r="K19">
        <f>StrapScenario2!K19</f>
        <v/>
      </c>
      <c r="L19">
        <f>StrapScenario2!L19*'[1]New UBs'!$J$51/1000</f>
        <v/>
      </c>
      <c r="M19" s="4">
        <f>StrapScenario2!M19*'[1]New UBs'!$J$51</f>
        <v/>
      </c>
      <c r="N19" s="4">
        <f>StrapScenario2!N19*'[1]New UBs'!$J$51</f>
        <v/>
      </c>
      <c r="O19" s="4">
        <f>StrapScenario2!O19*'[1]New UBs'!$J$51</f>
        <v/>
      </c>
      <c r="P19" s="4">
        <f>StrapScenario2!P19/20</f>
        <v/>
      </c>
      <c r="Q19" s="4">
        <f>StrapScenario2!Q19</f>
        <v/>
      </c>
    </row>
    <row r="20">
      <c r="A20">
        <f>StrapScenario2!A20</f>
        <v/>
      </c>
      <c r="B20">
        <f>StrapScenario2!B20</f>
        <v/>
      </c>
      <c r="C20">
        <f>StrapScenario2!C20</f>
        <v/>
      </c>
      <c r="D20">
        <f>StrapScenario2!D20*'[1]New UBs'!$J$51</f>
        <v/>
      </c>
      <c r="E20">
        <f>'StrapScenario2 Units elec'!E20*0.12</f>
        <v/>
      </c>
      <c r="F20">
        <f>L20</f>
        <v/>
      </c>
      <c r="G20">
        <f>StrapScenario2!G20</f>
        <v/>
      </c>
      <c r="H20">
        <f>StrapScenario2!H20</f>
        <v/>
      </c>
      <c r="I20">
        <f>StrapScenario2!I20</f>
        <v/>
      </c>
      <c r="J20" s="24">
        <f>StrapScenario2!J20</f>
        <v/>
      </c>
      <c r="K20">
        <f>StrapScenario2!K20</f>
        <v/>
      </c>
      <c r="L20">
        <f>StrapScenario2!L20*'[1]New UBs'!$J$51/1000</f>
        <v/>
      </c>
      <c r="M20" s="4">
        <f>StrapScenario2!M20*'[1]New UBs'!$J$51</f>
        <v/>
      </c>
      <c r="N20" s="4">
        <f>StrapScenario2!N20*'[1]New UBs'!$J$51</f>
        <v/>
      </c>
      <c r="O20" s="4">
        <f>StrapScenario2!O20*'[1]New UBs'!$J$51</f>
        <v/>
      </c>
      <c r="P20" s="4">
        <f>StrapScenario2!P20/20</f>
        <v/>
      </c>
      <c r="Q20" s="4">
        <f>StrapScenario2!Q20</f>
        <v/>
      </c>
    </row>
    <row r="21">
      <c r="A21">
        <f>StrapScenario2!A21</f>
        <v/>
      </c>
      <c r="B21">
        <f>StrapScenario2!B21</f>
        <v/>
      </c>
      <c r="C21">
        <f>StrapScenario2!C21</f>
        <v/>
      </c>
      <c r="D21">
        <f>StrapScenario2!D21*'[1]New UBs'!$J$51</f>
        <v/>
      </c>
      <c r="E21">
        <f>'StrapScenario2 Units elec'!E21*0.12</f>
        <v/>
      </c>
      <c r="F21">
        <f>L21</f>
        <v/>
      </c>
      <c r="G21">
        <f>StrapScenario2!G21</f>
        <v/>
      </c>
      <c r="H21">
        <f>StrapScenario2!H21</f>
        <v/>
      </c>
      <c r="I21">
        <f>StrapScenario2!I21</f>
        <v/>
      </c>
      <c r="J21" s="24">
        <f>StrapScenario2!J21</f>
        <v/>
      </c>
      <c r="K21">
        <f>StrapScenario2!K21</f>
        <v/>
      </c>
      <c r="L21">
        <f>StrapScenario2!L21*'[1]New UBs'!$J$51/1000</f>
        <v/>
      </c>
      <c r="M21" s="4">
        <f>StrapScenario2!M21*'[1]New UBs'!$J$51</f>
        <v/>
      </c>
      <c r="N21" s="4">
        <f>StrapScenario2!N21*'[1]New UBs'!$J$51</f>
        <v/>
      </c>
      <c r="O21" s="4">
        <f>StrapScenario2!O21*'[1]New UBs'!$J$51</f>
        <v/>
      </c>
      <c r="P21" s="4">
        <f>StrapScenario2!P21/20</f>
        <v/>
      </c>
      <c r="Q21" s="4">
        <f>StrapScenario2!Q21</f>
        <v/>
      </c>
    </row>
    <row r="22">
      <c r="A22">
        <f>StrapScenario2!A22</f>
        <v/>
      </c>
      <c r="B22">
        <f>StrapScenario2!B22</f>
        <v/>
      </c>
      <c r="C22">
        <f>StrapScenario2!C22</f>
        <v/>
      </c>
      <c r="D22">
        <f>StrapScenario2!D22*'[1]New UBs'!$J$50</f>
        <v/>
      </c>
      <c r="E22">
        <f>'StrapScenario2 Units elec'!E22*0.12</f>
        <v/>
      </c>
      <c r="F22">
        <f>L22</f>
        <v/>
      </c>
      <c r="G22">
        <f>StrapScenario2!G22</f>
        <v/>
      </c>
      <c r="H22">
        <f>StrapScenario2!H22</f>
        <v/>
      </c>
      <c r="I22">
        <f>StrapScenario2!I22</f>
        <v/>
      </c>
      <c r="J22" s="24">
        <f>StrapScenario2!J22</f>
        <v/>
      </c>
      <c r="K22">
        <f>StrapScenario2!K22</f>
        <v/>
      </c>
      <c r="L22">
        <f>StrapScenario2!L22*'[1]New UBs'!$J$50/1000</f>
        <v/>
      </c>
      <c r="M22" s="4">
        <f>StrapScenario2!M22*'[1]New UBs'!$J$50</f>
        <v/>
      </c>
      <c r="N22" s="4">
        <f>StrapScenario2!N22*'[1]New UBs'!$J$50</f>
        <v/>
      </c>
      <c r="O22" s="4">
        <f>StrapScenario2!O22*'[1]New UBs'!$J$50</f>
        <v/>
      </c>
      <c r="P22" s="4">
        <f>StrapScenario2!P22/20</f>
        <v/>
      </c>
      <c r="Q22" s="4">
        <f>StrapScenario2!Q22</f>
        <v/>
      </c>
    </row>
    <row r="23">
      <c r="A23">
        <f>StrapScenario2!A23</f>
        <v/>
      </c>
      <c r="B23">
        <f>StrapScenario2!B23</f>
        <v/>
      </c>
      <c r="C23">
        <f>StrapScenario2!C23</f>
        <v/>
      </c>
      <c r="D23">
        <f>StrapScenario2!D23*'[1]New UBs'!$J$50</f>
        <v/>
      </c>
      <c r="E23">
        <f>'StrapScenario2 Units elec'!E23*0.12</f>
        <v/>
      </c>
      <c r="F23">
        <f>L23</f>
        <v/>
      </c>
      <c r="G23">
        <f>StrapScenario2!G23</f>
        <v/>
      </c>
      <c r="H23">
        <f>StrapScenario2!H23</f>
        <v/>
      </c>
      <c r="I23">
        <f>StrapScenario2!I23</f>
        <v/>
      </c>
      <c r="J23" s="24">
        <f>StrapScenario2!J23</f>
        <v/>
      </c>
      <c r="K23">
        <f>StrapScenario2!K23</f>
        <v/>
      </c>
      <c r="L23">
        <f>StrapScenario2!L23*'[1]New UBs'!$J$50/1000</f>
        <v/>
      </c>
      <c r="M23" s="4">
        <f>StrapScenario2!M23*'[1]New UBs'!$J$50</f>
        <v/>
      </c>
      <c r="N23" s="4">
        <f>StrapScenario2!N23*'[1]New UBs'!$J$50</f>
        <v/>
      </c>
      <c r="O23" s="4">
        <f>StrapScenario2!O23*'[1]New UBs'!$J$50</f>
        <v/>
      </c>
      <c r="P23" s="4">
        <f>StrapScenario2!P23/20</f>
        <v/>
      </c>
      <c r="Q23" s="4">
        <f>StrapScenario2!Q23</f>
        <v/>
      </c>
    </row>
    <row r="24">
      <c r="A24">
        <f>StrapScenario2!A24</f>
        <v/>
      </c>
      <c r="B24">
        <f>StrapScenario2!B24</f>
        <v/>
      </c>
      <c r="C24">
        <f>StrapScenario2!C24</f>
        <v/>
      </c>
      <c r="D24">
        <f>StrapScenario2!D24*'[1]New UBs'!$J$50</f>
        <v/>
      </c>
      <c r="E24">
        <f>'StrapScenario2 Units elec'!E24*0.12</f>
        <v/>
      </c>
      <c r="F24">
        <f>L24</f>
        <v/>
      </c>
      <c r="G24">
        <f>StrapScenario2!G24</f>
        <v/>
      </c>
      <c r="H24">
        <f>StrapScenario2!H24</f>
        <v/>
      </c>
      <c r="I24">
        <f>StrapScenario2!I24</f>
        <v/>
      </c>
      <c r="J24" s="24">
        <f>StrapScenario2!J24</f>
        <v/>
      </c>
      <c r="K24">
        <f>StrapScenario2!K24</f>
        <v/>
      </c>
      <c r="L24">
        <f>StrapScenario2!L24*'[1]New UBs'!$J$50/1000</f>
        <v/>
      </c>
      <c r="M24" s="4">
        <f>StrapScenario2!M24*'[1]New UBs'!$J$50</f>
        <v/>
      </c>
      <c r="N24" s="4">
        <f>StrapScenario2!N24*'[1]New UBs'!$J$50</f>
        <v/>
      </c>
      <c r="O24" s="4">
        <f>StrapScenario2!O24*'[1]New UBs'!$J$50</f>
        <v/>
      </c>
      <c r="P24" s="4">
        <f>StrapScenario2!P24/20</f>
        <v/>
      </c>
      <c r="Q24" s="4">
        <f>StrapScenario2!Q24</f>
        <v/>
      </c>
    </row>
    <row r="25">
      <c r="A25">
        <f>StrapScenario2!A25</f>
        <v/>
      </c>
      <c r="B25">
        <f>StrapScenario2!B25</f>
        <v/>
      </c>
      <c r="C25">
        <f>StrapScenario2!C25</f>
        <v/>
      </c>
      <c r="D25">
        <f>StrapScenario2!D25*'[1]New UBs'!$J$50</f>
        <v/>
      </c>
      <c r="E25">
        <f>'StrapScenario2 Units elec'!E25*0.12</f>
        <v/>
      </c>
      <c r="F25">
        <f>L25</f>
        <v/>
      </c>
      <c r="G25">
        <f>StrapScenario2!G25</f>
        <v/>
      </c>
      <c r="H25">
        <f>StrapScenario2!H25</f>
        <v/>
      </c>
      <c r="I25">
        <f>StrapScenario2!I25</f>
        <v/>
      </c>
      <c r="J25" s="24">
        <f>StrapScenario2!J25</f>
        <v/>
      </c>
      <c r="K25">
        <f>StrapScenario2!K25</f>
        <v/>
      </c>
      <c r="L25">
        <f>StrapScenario2!L25*'[1]New UBs'!$J$50/1000</f>
        <v/>
      </c>
      <c r="M25" s="4">
        <f>StrapScenario2!M25*'[1]New UBs'!$J$50</f>
        <v/>
      </c>
      <c r="N25" s="4">
        <f>StrapScenario2!N25*'[1]New UBs'!$J$50</f>
        <v/>
      </c>
      <c r="O25" s="4">
        <f>StrapScenario2!O25*'[1]New UBs'!$J$50</f>
        <v/>
      </c>
      <c r="P25" s="4">
        <f>StrapScenario2!P25/20</f>
        <v/>
      </c>
      <c r="Q25" s="4">
        <f>StrapScenario2!Q25</f>
        <v/>
      </c>
    </row>
    <row r="26">
      <c r="A26">
        <f>StrapScenario2!A26</f>
        <v/>
      </c>
      <c r="B26">
        <f>StrapScenario2!B26</f>
        <v/>
      </c>
      <c r="C26">
        <f>StrapScenario2!C26</f>
        <v/>
      </c>
      <c r="D26">
        <f>StrapScenario2!D26*'[1]New UBs'!$J$50</f>
        <v/>
      </c>
      <c r="E26">
        <f>'StrapScenario2 Units elec'!E26*0.12</f>
        <v/>
      </c>
      <c r="F26">
        <f>L26</f>
        <v/>
      </c>
      <c r="G26">
        <f>StrapScenario2!G26</f>
        <v/>
      </c>
      <c r="H26">
        <f>StrapScenario2!H26</f>
        <v/>
      </c>
      <c r="I26">
        <f>StrapScenario2!I26</f>
        <v/>
      </c>
      <c r="J26" s="24">
        <f>StrapScenario2!J26</f>
        <v/>
      </c>
      <c r="K26">
        <f>StrapScenario2!K26</f>
        <v/>
      </c>
      <c r="L26">
        <f>StrapScenario2!L26*'[1]New UBs'!$J$50/1000</f>
        <v/>
      </c>
      <c r="M26" s="4">
        <f>StrapScenario2!M26*'[1]New UBs'!$J$50</f>
        <v/>
      </c>
      <c r="N26" s="4">
        <f>StrapScenario2!N26*'[1]New UBs'!$J$50</f>
        <v/>
      </c>
      <c r="O26" s="4">
        <f>StrapScenario2!O26*'[1]New UBs'!$J$50</f>
        <v/>
      </c>
      <c r="P26" s="4">
        <f>StrapScenario2!P26/20</f>
        <v/>
      </c>
      <c r="Q26" s="4">
        <f>StrapScenario2!Q26</f>
        <v/>
      </c>
    </row>
    <row r="27">
      <c r="A27">
        <f>StrapScenario2!A27</f>
        <v/>
      </c>
      <c r="B27">
        <f>StrapScenario2!B27</f>
        <v/>
      </c>
      <c r="C27">
        <f>StrapScenario2!C27</f>
        <v/>
      </c>
      <c r="D27">
        <f>StrapScenario2!D27*'[1]New UBs'!$J$50</f>
        <v/>
      </c>
      <c r="E27">
        <f>'StrapScenario2 Units elec'!E27*0.12</f>
        <v/>
      </c>
      <c r="F27">
        <f>L27</f>
        <v/>
      </c>
      <c r="G27">
        <f>StrapScenario2!G27</f>
        <v/>
      </c>
      <c r="H27">
        <f>StrapScenario2!H27</f>
        <v/>
      </c>
      <c r="I27">
        <f>StrapScenario2!I27</f>
        <v/>
      </c>
      <c r="J27" s="24">
        <f>StrapScenario2!J27</f>
        <v/>
      </c>
      <c r="K27">
        <f>StrapScenario2!K27</f>
        <v/>
      </c>
      <c r="L27">
        <f>StrapScenario2!L27*'[1]New UBs'!$J$50/1000</f>
        <v/>
      </c>
      <c r="M27" s="4">
        <f>StrapScenario2!M27*'[1]New UBs'!$J$50</f>
        <v/>
      </c>
      <c r="N27" s="4">
        <f>StrapScenario2!N27*'[1]New UBs'!$J$50</f>
        <v/>
      </c>
      <c r="O27" s="4">
        <f>StrapScenario2!O27*'[1]New UBs'!$J$50</f>
        <v/>
      </c>
      <c r="P27" s="4">
        <f>StrapScenario2!P27/20</f>
        <v/>
      </c>
      <c r="Q27" s="4">
        <f>StrapScenario2!Q27</f>
        <v/>
      </c>
    </row>
    <row r="28">
      <c r="A28">
        <f>StrapScenario2!A28</f>
        <v/>
      </c>
      <c r="B28">
        <f>StrapScenario2!B28</f>
        <v/>
      </c>
      <c r="C28">
        <f>StrapScenario2!C28</f>
        <v/>
      </c>
      <c r="D28">
        <f>StrapScenario2!D28*'[1]New UBs'!$J$50</f>
        <v/>
      </c>
      <c r="E28">
        <f>'StrapScenario2 Units elec'!E28*0.12</f>
        <v/>
      </c>
      <c r="F28">
        <f>L28</f>
        <v/>
      </c>
      <c r="G28">
        <f>StrapScenario2!G28</f>
        <v/>
      </c>
      <c r="H28">
        <f>StrapScenario2!H28</f>
        <v/>
      </c>
      <c r="I28">
        <f>StrapScenario2!I28</f>
        <v/>
      </c>
      <c r="J28" s="24">
        <f>StrapScenario2!J28</f>
        <v/>
      </c>
      <c r="K28">
        <f>StrapScenario2!K28</f>
        <v/>
      </c>
      <c r="L28">
        <f>StrapScenario2!L28*'[1]New UBs'!$J$50/1000</f>
        <v/>
      </c>
      <c r="M28" s="4">
        <f>StrapScenario2!M28*'[1]New UBs'!$J$50</f>
        <v/>
      </c>
      <c r="N28" s="4">
        <f>StrapScenario2!N28*'[1]New UBs'!$J$50</f>
        <v/>
      </c>
      <c r="O28" s="4">
        <f>StrapScenario2!O28*'[1]New UBs'!$J$50</f>
        <v/>
      </c>
      <c r="P28" s="4">
        <f>StrapScenario2!P28/20</f>
        <v/>
      </c>
      <c r="Q28" s="4">
        <f>StrapScenario2!Q28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D2" sqref="D2"/>
    </sheetView>
  </sheetViews>
  <sheetFormatPr baseColWidth="10" defaultRowHeight="16"/>
  <sheetData>
    <row r="1" ht="187" customHeight="1">
      <c r="A1" s="10" t="inlineStr">
        <is>
          <t>Wash number</t>
        </is>
      </c>
      <c r="B1" s="10" t="inlineStr">
        <is>
          <t>Polymer</t>
        </is>
      </c>
      <c r="C1" s="10" t="inlineStr">
        <is>
          <t>Solvents</t>
        </is>
      </c>
      <c r="D1" s="21" t="inlineStr">
        <is>
          <t>Total Energy Consumed [MJ/yr]</t>
        </is>
      </c>
      <c r="E1" s="21" t="inlineStr">
        <is>
          <t>Total Electricity Energy Consumed [MJ/yr]</t>
        </is>
      </c>
      <c r="F1" s="10" t="inlineStr">
        <is>
          <t>Total Direct GHG emissions [Scope 1] [metric tons CO2 equivalent [tCO2e/yr]]</t>
        </is>
      </c>
      <c r="G1" s="10" t="inlineStr">
        <is>
          <t>Total Energy indirect GHG emissions (Scope 2) [metric tons CO2 equivalent (t CO2e/yr)]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Disposal[ton/yr]</t>
        </is>
      </c>
      <c r="L1" s="21" t="inlineStr">
        <is>
          <t>GWP [tonCO2e/yr]</t>
        </is>
      </c>
      <c r="M1" s="21" t="inlineStr">
        <is>
          <t>Human toxicity cancer [CTUh/yr]</t>
        </is>
      </c>
      <c r="N1" s="21" t="inlineStr">
        <is>
          <t>Human toxicity non-cancer [CTUh/yr]</t>
        </is>
      </c>
      <c r="O1" s="21" t="inlineStr">
        <is>
          <t>Ecotoxicity [CTUe/yr]</t>
        </is>
      </c>
      <c r="P1" s="10" t="inlineStr">
        <is>
          <t>CAPEX [USD]</t>
        </is>
      </c>
      <c r="Q1" s="10" t="inlineStr">
        <is>
          <t>OPEX [USD/yr]</t>
        </is>
      </c>
    </row>
    <row r="2">
      <c r="A2">
        <f>StrapScenario2!A2</f>
        <v/>
      </c>
      <c r="B2">
        <f>StrapScenario2!B2</f>
        <v/>
      </c>
      <c r="C2">
        <f>StrapScenario2!C2</f>
        <v/>
      </c>
      <c r="D2">
        <f>StrapScenario2!D2*'[1]New UBs'!$E$50</f>
        <v/>
      </c>
      <c r="E2">
        <f>StrapScenario2!E2*'[1]New UBs'!$E$50</f>
        <v/>
      </c>
      <c r="F2">
        <f>StrapScenario2!F2</f>
        <v/>
      </c>
      <c r="G2">
        <f>StrapScenario2!G2</f>
        <v/>
      </c>
      <c r="H2">
        <f>StrapScenario2!H2</f>
        <v/>
      </c>
      <c r="I2">
        <f>StrapScenario2!I2</f>
        <v/>
      </c>
      <c r="J2">
        <f>StrapScenario2!J2</f>
        <v/>
      </c>
      <c r="K2">
        <f>StrapScenario2!K2</f>
        <v/>
      </c>
      <c r="L2">
        <f>StrapScenario2!L2*'[1]New UBs'!$E$50/1000</f>
        <v/>
      </c>
      <c r="M2" s="4">
        <f>StrapScenario2!M2*'[1]New UBs'!$E$50</f>
        <v/>
      </c>
      <c r="N2" s="4">
        <f>StrapScenario2!N2*'[1]New UBs'!$E$50</f>
        <v/>
      </c>
      <c r="O2" s="4">
        <f>StrapScenario2!O2*'[1]New UBs'!$E$50</f>
        <v/>
      </c>
      <c r="P2">
        <f>StrapScenario2!P2</f>
        <v/>
      </c>
      <c r="Q2">
        <f>StrapScenario2!Q2</f>
        <v/>
      </c>
    </row>
    <row r="3">
      <c r="A3">
        <f>StrapScenario2!A3</f>
        <v/>
      </c>
      <c r="B3">
        <f>StrapScenario2!B3</f>
        <v/>
      </c>
      <c r="C3">
        <f>StrapScenario2!C3</f>
        <v/>
      </c>
      <c r="D3">
        <f>StrapScenario2!D3*'[1]New UBs'!$E$50</f>
        <v/>
      </c>
      <c r="E3">
        <f>StrapScenario2!E3*'[1]New UBs'!$E$50</f>
        <v/>
      </c>
      <c r="F3">
        <f>StrapScenario2!F3</f>
        <v/>
      </c>
      <c r="G3">
        <f>StrapScenario2!G3</f>
        <v/>
      </c>
      <c r="H3">
        <f>StrapScenario2!H3</f>
        <v/>
      </c>
      <c r="I3">
        <f>StrapScenario2!I3</f>
        <v/>
      </c>
      <c r="J3">
        <f>StrapScenario2!J3</f>
        <v/>
      </c>
      <c r="K3">
        <f>StrapScenario2!K3</f>
        <v/>
      </c>
      <c r="L3">
        <f>StrapScenario2!L3*'[1]New UBs'!$E$50/1000</f>
        <v/>
      </c>
      <c r="M3" s="4">
        <f>StrapScenario2!M3*'[1]New UBs'!$E$50</f>
        <v/>
      </c>
      <c r="N3" s="4">
        <f>StrapScenario2!N3*'[1]New UBs'!$E$50</f>
        <v/>
      </c>
      <c r="O3" s="4">
        <f>StrapScenario2!O3*'[1]New UBs'!$E$50</f>
        <v/>
      </c>
      <c r="P3">
        <f>StrapScenario2!P3</f>
        <v/>
      </c>
      <c r="Q3">
        <f>StrapScenario2!Q3</f>
        <v/>
      </c>
    </row>
    <row r="4">
      <c r="A4">
        <f>StrapScenario2!A4</f>
        <v/>
      </c>
      <c r="B4">
        <f>StrapScenario2!B4</f>
        <v/>
      </c>
      <c r="C4">
        <f>StrapScenario2!C4</f>
        <v/>
      </c>
      <c r="D4">
        <f>StrapScenario2!D4*'[1]New UBs'!$E$50</f>
        <v/>
      </c>
      <c r="E4">
        <f>StrapScenario2!E4*'[1]New UBs'!$E$50</f>
        <v/>
      </c>
      <c r="F4">
        <f>StrapScenario2!F4</f>
        <v/>
      </c>
      <c r="G4">
        <f>StrapScenario2!G4</f>
        <v/>
      </c>
      <c r="H4">
        <f>StrapScenario2!H4</f>
        <v/>
      </c>
      <c r="I4">
        <f>StrapScenario2!I4</f>
        <v/>
      </c>
      <c r="J4">
        <f>StrapScenario2!J4</f>
        <v/>
      </c>
      <c r="K4">
        <f>StrapScenario2!K4</f>
        <v/>
      </c>
      <c r="L4">
        <f>StrapScenario2!L4*'[1]New UBs'!$E$50/1000</f>
        <v/>
      </c>
      <c r="M4" s="4">
        <f>StrapScenario2!M4*'[1]New UBs'!$E$50</f>
        <v/>
      </c>
      <c r="N4" s="4">
        <f>StrapScenario2!N4*'[1]New UBs'!$E$50</f>
        <v/>
      </c>
      <c r="O4" s="4">
        <f>StrapScenario2!O4*'[1]New UBs'!$E$50</f>
        <v/>
      </c>
      <c r="P4">
        <f>StrapScenario2!P4</f>
        <v/>
      </c>
      <c r="Q4">
        <f>StrapScenario2!Q4</f>
        <v/>
      </c>
    </row>
    <row r="5">
      <c r="A5">
        <f>StrapScenario2!A5</f>
        <v/>
      </c>
      <c r="B5">
        <f>StrapScenario2!B5</f>
        <v/>
      </c>
      <c r="C5">
        <f>StrapScenario2!C5</f>
        <v/>
      </c>
      <c r="D5">
        <f>StrapScenario2!D5*'[1]New UBs'!$E$50</f>
        <v/>
      </c>
      <c r="E5">
        <f>StrapScenario2!E5*'[1]New UBs'!$E$50</f>
        <v/>
      </c>
      <c r="F5">
        <f>StrapScenario2!F5</f>
        <v/>
      </c>
      <c r="G5">
        <f>StrapScenario2!G5</f>
        <v/>
      </c>
      <c r="H5">
        <f>StrapScenario2!H5</f>
        <v/>
      </c>
      <c r="I5">
        <f>StrapScenario2!I5</f>
        <v/>
      </c>
      <c r="J5">
        <f>StrapScenario2!J5</f>
        <v/>
      </c>
      <c r="K5">
        <f>StrapScenario2!K5</f>
        <v/>
      </c>
      <c r="L5">
        <f>StrapScenario2!L5*'[1]New UBs'!$E$50/1000</f>
        <v/>
      </c>
      <c r="M5" s="4">
        <f>StrapScenario2!M5*'[1]New UBs'!$E$50</f>
        <v/>
      </c>
      <c r="N5" s="4">
        <f>StrapScenario2!N5*'[1]New UBs'!$E$50</f>
        <v/>
      </c>
      <c r="O5" s="4">
        <f>StrapScenario2!O5*'[1]New UBs'!$E$50</f>
        <v/>
      </c>
      <c r="P5">
        <f>StrapScenario2!P5</f>
        <v/>
      </c>
      <c r="Q5">
        <f>StrapScenario2!Q5</f>
        <v/>
      </c>
    </row>
    <row r="6">
      <c r="A6">
        <f>StrapScenario2!A6</f>
        <v/>
      </c>
      <c r="B6">
        <f>StrapScenario2!B6</f>
        <v/>
      </c>
      <c r="C6">
        <f>StrapScenario2!C6</f>
        <v/>
      </c>
      <c r="D6">
        <f>StrapScenario2!D6*'[1]New UBs'!$E$50</f>
        <v/>
      </c>
      <c r="E6">
        <f>StrapScenario2!E6*'[1]New UBs'!$E$50</f>
        <v/>
      </c>
      <c r="F6">
        <f>StrapScenario2!F6</f>
        <v/>
      </c>
      <c r="G6">
        <f>StrapScenario2!G6</f>
        <v/>
      </c>
      <c r="H6">
        <f>StrapScenario2!H6</f>
        <v/>
      </c>
      <c r="I6">
        <f>StrapScenario2!I6</f>
        <v/>
      </c>
      <c r="J6">
        <f>StrapScenario2!J6</f>
        <v/>
      </c>
      <c r="K6">
        <f>StrapScenario2!K6</f>
        <v/>
      </c>
      <c r="L6">
        <f>StrapScenario2!L6*'[1]New UBs'!$E$50/1000</f>
        <v/>
      </c>
      <c r="M6" s="4">
        <f>StrapScenario2!M6*'[1]New UBs'!$E$50</f>
        <v/>
      </c>
      <c r="N6" s="4">
        <f>StrapScenario2!N6*'[1]New UBs'!$E$50</f>
        <v/>
      </c>
      <c r="O6" s="4">
        <f>StrapScenario2!O6*'[1]New UBs'!$E$50</f>
        <v/>
      </c>
      <c r="P6">
        <f>StrapScenario2!P6</f>
        <v/>
      </c>
      <c r="Q6">
        <f>StrapScenario2!Q6</f>
        <v/>
      </c>
    </row>
    <row r="7">
      <c r="A7">
        <f>StrapScenario2!A7</f>
        <v/>
      </c>
      <c r="B7">
        <f>StrapScenario2!B7</f>
        <v/>
      </c>
      <c r="C7">
        <f>StrapScenario2!C7</f>
        <v/>
      </c>
      <c r="D7">
        <f>StrapScenario2!D7*'[1]New UBs'!$E$50</f>
        <v/>
      </c>
      <c r="E7">
        <f>StrapScenario2!E7*'[1]New UBs'!$E$50</f>
        <v/>
      </c>
      <c r="F7">
        <f>StrapScenario2!F7</f>
        <v/>
      </c>
      <c r="G7">
        <f>StrapScenario2!G7</f>
        <v/>
      </c>
      <c r="H7">
        <f>StrapScenario2!H7</f>
        <v/>
      </c>
      <c r="I7">
        <f>StrapScenario2!I7</f>
        <v/>
      </c>
      <c r="J7">
        <f>StrapScenario2!J7</f>
        <v/>
      </c>
      <c r="K7">
        <f>StrapScenario2!K7</f>
        <v/>
      </c>
      <c r="L7">
        <f>StrapScenario2!L7*'[1]New UBs'!$E$50/1000</f>
        <v/>
      </c>
      <c r="M7" s="4">
        <f>StrapScenario2!M7*'[1]New UBs'!$E$50</f>
        <v/>
      </c>
      <c r="N7" s="4">
        <f>StrapScenario2!N7*'[1]New UBs'!$E$50</f>
        <v/>
      </c>
      <c r="O7" s="4">
        <f>StrapScenario2!O7*'[1]New UBs'!$E$50</f>
        <v/>
      </c>
      <c r="P7">
        <f>StrapScenario2!P7</f>
        <v/>
      </c>
      <c r="Q7">
        <f>StrapScenario2!Q7</f>
        <v/>
      </c>
    </row>
    <row r="8">
      <c r="A8">
        <f>StrapScenario2!A8</f>
        <v/>
      </c>
      <c r="B8">
        <f>StrapScenario2!B8</f>
        <v/>
      </c>
      <c r="C8">
        <f>StrapScenario2!C8</f>
        <v/>
      </c>
      <c r="D8">
        <f>StrapScenario2!D8*'[1]New UBs'!$E$50</f>
        <v/>
      </c>
      <c r="E8">
        <f>StrapScenario2!E8*'[1]New UBs'!$E$50</f>
        <v/>
      </c>
      <c r="F8">
        <f>StrapScenario2!F8</f>
        <v/>
      </c>
      <c r="G8">
        <f>StrapScenario2!G8</f>
        <v/>
      </c>
      <c r="H8">
        <f>StrapScenario2!H8</f>
        <v/>
      </c>
      <c r="I8">
        <f>StrapScenario2!I8</f>
        <v/>
      </c>
      <c r="J8">
        <f>StrapScenario2!J8</f>
        <v/>
      </c>
      <c r="K8">
        <f>StrapScenario2!K8</f>
        <v/>
      </c>
      <c r="L8">
        <f>StrapScenario2!L8*'[1]New UBs'!$E$50/1000</f>
        <v/>
      </c>
      <c r="M8" s="4">
        <f>StrapScenario2!M8*'[1]New UBs'!$E$50</f>
        <v/>
      </c>
      <c r="N8" s="4">
        <f>StrapScenario2!N8*'[1]New UBs'!$E$50</f>
        <v/>
      </c>
      <c r="O8" s="4">
        <f>StrapScenario2!O8*'[1]New UBs'!$E$50</f>
        <v/>
      </c>
      <c r="P8">
        <f>StrapScenario2!P8</f>
        <v/>
      </c>
      <c r="Q8">
        <f>StrapScenario2!Q8</f>
        <v/>
      </c>
    </row>
    <row r="9">
      <c r="A9">
        <f>StrapScenario2!A9</f>
        <v/>
      </c>
      <c r="B9">
        <f>StrapScenario2!B9</f>
        <v/>
      </c>
      <c r="C9">
        <f>StrapScenario2!C9</f>
        <v/>
      </c>
      <c r="D9">
        <f>StrapScenario2!D9*'[1]New UBs'!$E$50</f>
        <v/>
      </c>
      <c r="E9">
        <f>StrapScenario2!E9*'[1]New UBs'!$E$50</f>
        <v/>
      </c>
      <c r="F9">
        <f>StrapScenario2!F9</f>
        <v/>
      </c>
      <c r="G9">
        <f>StrapScenario2!G9</f>
        <v/>
      </c>
      <c r="H9">
        <f>StrapScenario2!H9</f>
        <v/>
      </c>
      <c r="I9">
        <f>StrapScenario2!I9</f>
        <v/>
      </c>
      <c r="J9">
        <f>StrapScenario2!J9</f>
        <v/>
      </c>
      <c r="K9">
        <f>StrapScenario2!K9</f>
        <v/>
      </c>
      <c r="L9">
        <f>StrapScenario2!L9*'[1]New UBs'!$E$50/1000</f>
        <v/>
      </c>
      <c r="M9" s="4">
        <f>StrapScenario2!M9*'[1]New UBs'!$E$50</f>
        <v/>
      </c>
      <c r="N9" s="4">
        <f>StrapScenario2!N9*'[1]New UBs'!$E$50</f>
        <v/>
      </c>
      <c r="O9" s="4">
        <f>StrapScenario2!O9*'[1]New UBs'!$E$50</f>
        <v/>
      </c>
      <c r="P9">
        <f>StrapScenario2!P9</f>
        <v/>
      </c>
      <c r="Q9">
        <f>StrapScenario2!Q9</f>
        <v/>
      </c>
    </row>
    <row r="10">
      <c r="A10">
        <f>StrapScenario2!A10</f>
        <v/>
      </c>
      <c r="B10">
        <f>StrapScenario2!B10</f>
        <v/>
      </c>
      <c r="C10">
        <f>StrapScenario2!C10</f>
        <v/>
      </c>
      <c r="D10">
        <f>StrapScenario2!D10*'[1]New UBs'!$E$50</f>
        <v/>
      </c>
      <c r="E10">
        <f>StrapScenario2!E10*'[1]New UBs'!$E$50</f>
        <v/>
      </c>
      <c r="F10">
        <f>StrapScenario2!F10</f>
        <v/>
      </c>
      <c r="G10">
        <f>StrapScenario2!G10</f>
        <v/>
      </c>
      <c r="H10">
        <f>StrapScenario2!H10</f>
        <v/>
      </c>
      <c r="I10">
        <f>StrapScenario2!I10</f>
        <v/>
      </c>
      <c r="J10">
        <f>StrapScenario2!J10</f>
        <v/>
      </c>
      <c r="K10">
        <f>StrapScenario2!K10</f>
        <v/>
      </c>
      <c r="L10">
        <f>StrapScenario2!L10*'[1]New UBs'!$E$50/1000</f>
        <v/>
      </c>
      <c r="M10" s="4">
        <f>StrapScenario2!M10*'[1]New UBs'!$E$50</f>
        <v/>
      </c>
      <c r="N10" s="4">
        <f>StrapScenario2!N10*'[1]New UBs'!$E$50</f>
        <v/>
      </c>
      <c r="O10" s="4">
        <f>StrapScenario2!O10*'[1]New UBs'!$E$50</f>
        <v/>
      </c>
      <c r="P10">
        <f>StrapScenario2!P10</f>
        <v/>
      </c>
      <c r="Q10">
        <f>StrapScenario2!Q10</f>
        <v/>
      </c>
    </row>
    <row r="11">
      <c r="A11">
        <f>StrapScenario2!A11</f>
        <v/>
      </c>
      <c r="B11">
        <f>StrapScenario2!B11</f>
        <v/>
      </c>
      <c r="C11">
        <f>StrapScenario2!C11</f>
        <v/>
      </c>
      <c r="D11">
        <f>StrapScenario2!D11*'[1]New UBs'!$E$51</f>
        <v/>
      </c>
      <c r="E11">
        <f>StrapScenario2!E11*'[1]New UBs'!$E$51</f>
        <v/>
      </c>
      <c r="F11">
        <f>StrapScenario2!F11</f>
        <v/>
      </c>
      <c r="G11">
        <f>StrapScenario2!G11</f>
        <v/>
      </c>
      <c r="H11">
        <f>StrapScenario2!H11</f>
        <v/>
      </c>
      <c r="I11">
        <f>StrapScenario2!I11</f>
        <v/>
      </c>
      <c r="J11">
        <f>StrapScenario2!J11</f>
        <v/>
      </c>
      <c r="K11">
        <f>StrapScenario2!K11</f>
        <v/>
      </c>
      <c r="L11">
        <f>StrapScenario2!L11*'[1]New UBs'!$E$51/1000</f>
        <v/>
      </c>
      <c r="M11" s="4">
        <f>StrapScenario2!M11*'[1]New UBs'!$E$51</f>
        <v/>
      </c>
      <c r="N11" s="4">
        <f>StrapScenario2!N11*'[1]New UBs'!$E$51</f>
        <v/>
      </c>
      <c r="O11" s="4">
        <f>StrapScenario2!O11*'[1]New UBs'!$E$51</f>
        <v/>
      </c>
      <c r="P11">
        <f>StrapScenario2!P11</f>
        <v/>
      </c>
      <c r="Q11">
        <f>StrapScenario2!Q11</f>
        <v/>
      </c>
    </row>
    <row r="12">
      <c r="A12">
        <f>StrapScenario2!A12</f>
        <v/>
      </c>
      <c r="B12">
        <f>StrapScenario2!B12</f>
        <v/>
      </c>
      <c r="C12">
        <f>StrapScenario2!C12</f>
        <v/>
      </c>
      <c r="D12">
        <f>StrapScenario2!D12*'[1]New UBs'!$E$51</f>
        <v/>
      </c>
      <c r="E12">
        <f>StrapScenario2!E12*'[1]New UBs'!$E$51</f>
        <v/>
      </c>
      <c r="F12">
        <f>StrapScenario2!F12</f>
        <v/>
      </c>
      <c r="G12">
        <f>StrapScenario2!G12</f>
        <v/>
      </c>
      <c r="H12">
        <f>StrapScenario2!H12</f>
        <v/>
      </c>
      <c r="I12">
        <f>StrapScenario2!I12</f>
        <v/>
      </c>
      <c r="J12">
        <f>StrapScenario2!J12</f>
        <v/>
      </c>
      <c r="K12">
        <f>StrapScenario2!K12</f>
        <v/>
      </c>
      <c r="L12">
        <f>StrapScenario2!L12*'[1]New UBs'!$E$51/1000</f>
        <v/>
      </c>
      <c r="M12" s="4">
        <f>StrapScenario2!M12*'[1]New UBs'!$E$51</f>
        <v/>
      </c>
      <c r="N12" s="4">
        <f>StrapScenario2!N12*'[1]New UBs'!$E$51</f>
        <v/>
      </c>
      <c r="O12" s="4">
        <f>StrapScenario2!O12*'[1]New UBs'!$E$51</f>
        <v/>
      </c>
      <c r="P12">
        <f>StrapScenario2!P12</f>
        <v/>
      </c>
      <c r="Q12">
        <f>StrapScenario2!Q12</f>
        <v/>
      </c>
    </row>
    <row r="13">
      <c r="A13">
        <f>StrapScenario2!A13</f>
        <v/>
      </c>
      <c r="B13">
        <f>StrapScenario2!B13</f>
        <v/>
      </c>
      <c r="C13">
        <f>StrapScenario2!C13</f>
        <v/>
      </c>
      <c r="D13">
        <f>StrapScenario2!D13*'[1]New UBs'!$J$51</f>
        <v/>
      </c>
      <c r="E13">
        <f>StrapScenario2!E13*'[1]New UBs'!$J$51</f>
        <v/>
      </c>
      <c r="F13">
        <f>StrapScenario2!F13</f>
        <v/>
      </c>
      <c r="G13">
        <f>StrapScenario2!G13</f>
        <v/>
      </c>
      <c r="H13">
        <f>StrapScenario2!H13</f>
        <v/>
      </c>
      <c r="I13">
        <f>StrapScenario2!I13</f>
        <v/>
      </c>
      <c r="J13">
        <f>StrapScenario2!J13</f>
        <v/>
      </c>
      <c r="K13">
        <f>StrapScenario2!K13</f>
        <v/>
      </c>
      <c r="L13">
        <f>StrapScenario2!L13*'[1]New UBs'!$J$51/1000</f>
        <v/>
      </c>
      <c r="M13" s="4">
        <f>StrapScenario2!M13*'[1]New UBs'!$J$51</f>
        <v/>
      </c>
      <c r="N13" s="4">
        <f>StrapScenario2!N13*'[1]New UBs'!$J$51</f>
        <v/>
      </c>
      <c r="O13" s="4">
        <f>StrapScenario2!O13*'[1]New UBs'!$J$51</f>
        <v/>
      </c>
      <c r="P13">
        <f>StrapScenario2!P13</f>
        <v/>
      </c>
      <c r="Q13">
        <f>StrapScenario2!Q13</f>
        <v/>
      </c>
    </row>
    <row r="14">
      <c r="A14">
        <f>StrapScenario2!A14</f>
        <v/>
      </c>
      <c r="B14">
        <f>StrapScenario2!B14</f>
        <v/>
      </c>
      <c r="C14">
        <f>StrapScenario2!C14</f>
        <v/>
      </c>
      <c r="D14">
        <f>StrapScenario2!D14*'[1]New UBs'!$J$51</f>
        <v/>
      </c>
      <c r="E14">
        <f>StrapScenario2!E14*'[1]New UBs'!$J$51</f>
        <v/>
      </c>
      <c r="F14">
        <f>StrapScenario2!F14</f>
        <v/>
      </c>
      <c r="G14">
        <f>StrapScenario2!G14</f>
        <v/>
      </c>
      <c r="H14">
        <f>StrapScenario2!H14</f>
        <v/>
      </c>
      <c r="I14">
        <f>StrapScenario2!I14</f>
        <v/>
      </c>
      <c r="J14">
        <f>StrapScenario2!J14</f>
        <v/>
      </c>
      <c r="K14">
        <f>StrapScenario2!K14</f>
        <v/>
      </c>
      <c r="L14">
        <f>StrapScenario2!L14*'[1]New UBs'!$J$51/1000</f>
        <v/>
      </c>
      <c r="M14" s="4">
        <f>StrapScenario2!M14*'[1]New UBs'!$J$51</f>
        <v/>
      </c>
      <c r="N14" s="4">
        <f>StrapScenario2!N14*'[1]New UBs'!$J$51</f>
        <v/>
      </c>
      <c r="O14" s="4">
        <f>StrapScenario2!O14*'[1]New UBs'!$J$51</f>
        <v/>
      </c>
      <c r="P14">
        <f>StrapScenario2!P14</f>
        <v/>
      </c>
      <c r="Q14">
        <f>StrapScenario2!Q14</f>
        <v/>
      </c>
    </row>
    <row r="15">
      <c r="A15">
        <f>StrapScenario2!A15</f>
        <v/>
      </c>
      <c r="B15">
        <f>StrapScenario2!B15</f>
        <v/>
      </c>
      <c r="C15">
        <f>StrapScenario2!C15</f>
        <v/>
      </c>
      <c r="D15">
        <f>StrapScenario2!D15*'[1]New UBs'!$J$51</f>
        <v/>
      </c>
      <c r="E15">
        <f>StrapScenario2!E15*'[1]New UBs'!$J$51</f>
        <v/>
      </c>
      <c r="F15">
        <f>StrapScenario2!F15</f>
        <v/>
      </c>
      <c r="G15">
        <f>StrapScenario2!G15</f>
        <v/>
      </c>
      <c r="H15">
        <f>StrapScenario2!H15</f>
        <v/>
      </c>
      <c r="I15">
        <f>StrapScenario2!I15</f>
        <v/>
      </c>
      <c r="J15">
        <f>StrapScenario2!J15</f>
        <v/>
      </c>
      <c r="K15">
        <f>StrapScenario2!K15</f>
        <v/>
      </c>
      <c r="L15">
        <f>StrapScenario2!L15*'[1]New UBs'!$J$51/1000</f>
        <v/>
      </c>
      <c r="M15" s="4">
        <f>StrapScenario2!M15*'[1]New UBs'!$J$51</f>
        <v/>
      </c>
      <c r="N15" s="4">
        <f>StrapScenario2!N15*'[1]New UBs'!$J$51</f>
        <v/>
      </c>
      <c r="O15" s="4">
        <f>StrapScenario2!O15*'[1]New UBs'!$J$51</f>
        <v/>
      </c>
      <c r="P15">
        <f>StrapScenario2!P15</f>
        <v/>
      </c>
      <c r="Q15">
        <f>StrapScenario2!Q15</f>
        <v/>
      </c>
    </row>
    <row r="16">
      <c r="A16">
        <f>StrapScenario2!A16</f>
        <v/>
      </c>
      <c r="B16">
        <f>StrapScenario2!B16</f>
        <v/>
      </c>
      <c r="C16">
        <f>StrapScenario2!C16</f>
        <v/>
      </c>
      <c r="D16">
        <f>StrapScenario2!D16*'[1]New UBs'!$J$51</f>
        <v/>
      </c>
      <c r="E16">
        <f>StrapScenario2!E16*'[1]New UBs'!$J$51</f>
        <v/>
      </c>
      <c r="F16">
        <f>StrapScenario2!F16</f>
        <v/>
      </c>
      <c r="G16">
        <f>StrapScenario2!G16</f>
        <v/>
      </c>
      <c r="H16">
        <f>StrapScenario2!H16</f>
        <v/>
      </c>
      <c r="I16">
        <f>StrapScenario2!I16</f>
        <v/>
      </c>
      <c r="J16">
        <f>StrapScenario2!J16</f>
        <v/>
      </c>
      <c r="K16">
        <f>StrapScenario2!K16</f>
        <v/>
      </c>
      <c r="L16">
        <f>StrapScenario2!L16*'[1]New UBs'!$J$51/1000</f>
        <v/>
      </c>
      <c r="M16" s="4">
        <f>StrapScenario2!M16*'[1]New UBs'!$J$51</f>
        <v/>
      </c>
      <c r="N16" s="4">
        <f>StrapScenario2!N16*'[1]New UBs'!$J$51</f>
        <v/>
      </c>
      <c r="O16" s="4">
        <f>StrapScenario2!O16*'[1]New UBs'!$J$51</f>
        <v/>
      </c>
      <c r="P16">
        <f>StrapScenario2!P16</f>
        <v/>
      </c>
      <c r="Q16">
        <f>StrapScenario2!Q16</f>
        <v/>
      </c>
    </row>
    <row r="17">
      <c r="A17">
        <f>StrapScenario2!A17</f>
        <v/>
      </c>
      <c r="B17">
        <f>StrapScenario2!B17</f>
        <v/>
      </c>
      <c r="C17">
        <f>StrapScenario2!C17</f>
        <v/>
      </c>
      <c r="D17">
        <f>StrapScenario2!D17*'[1]New UBs'!$J$51</f>
        <v/>
      </c>
      <c r="E17">
        <f>StrapScenario2!E17*'[1]New UBs'!$J$51</f>
        <v/>
      </c>
      <c r="F17">
        <f>StrapScenario2!F17</f>
        <v/>
      </c>
      <c r="G17">
        <f>StrapScenario2!G17</f>
        <v/>
      </c>
      <c r="H17">
        <f>StrapScenario2!H17</f>
        <v/>
      </c>
      <c r="I17">
        <f>StrapScenario2!I17</f>
        <v/>
      </c>
      <c r="J17">
        <f>StrapScenario2!J17</f>
        <v/>
      </c>
      <c r="K17">
        <f>StrapScenario2!K17</f>
        <v/>
      </c>
      <c r="L17">
        <f>StrapScenario2!L17*'[1]New UBs'!$J$51/1000</f>
        <v/>
      </c>
      <c r="M17" s="4">
        <f>StrapScenario2!M17*'[1]New UBs'!$J$51</f>
        <v/>
      </c>
      <c r="N17" s="4">
        <f>StrapScenario2!N17*'[1]New UBs'!$J$51</f>
        <v/>
      </c>
      <c r="O17" s="4">
        <f>StrapScenario2!O17*'[1]New UBs'!$J$51</f>
        <v/>
      </c>
      <c r="P17">
        <f>StrapScenario2!P17</f>
        <v/>
      </c>
      <c r="Q17">
        <f>StrapScenario2!Q17</f>
        <v/>
      </c>
    </row>
    <row r="18">
      <c r="A18">
        <f>StrapScenario2!A18</f>
        <v/>
      </c>
      <c r="B18">
        <f>StrapScenario2!B18</f>
        <v/>
      </c>
      <c r="C18">
        <f>StrapScenario2!C18</f>
        <v/>
      </c>
      <c r="D18">
        <f>StrapScenario2!D18*'[1]New UBs'!$J$51</f>
        <v/>
      </c>
      <c r="E18">
        <f>StrapScenario2!E18*'[1]New UBs'!$J$51</f>
        <v/>
      </c>
      <c r="F18">
        <f>StrapScenario2!F18</f>
        <v/>
      </c>
      <c r="G18">
        <f>StrapScenario2!G18</f>
        <v/>
      </c>
      <c r="H18">
        <f>StrapScenario2!H18</f>
        <v/>
      </c>
      <c r="I18">
        <f>StrapScenario2!I18</f>
        <v/>
      </c>
      <c r="J18">
        <f>StrapScenario2!J18</f>
        <v/>
      </c>
      <c r="K18">
        <f>StrapScenario2!K18</f>
        <v/>
      </c>
      <c r="L18">
        <f>StrapScenario2!L18*'[1]New UBs'!$J$51/1000</f>
        <v/>
      </c>
      <c r="M18" s="4">
        <f>StrapScenario2!M18*'[1]New UBs'!$J$51</f>
        <v/>
      </c>
      <c r="N18" s="4">
        <f>StrapScenario2!N18*'[1]New UBs'!$J$51</f>
        <v/>
      </c>
      <c r="O18" s="4">
        <f>StrapScenario2!O18*'[1]New UBs'!$J$51</f>
        <v/>
      </c>
      <c r="P18">
        <f>StrapScenario2!P18</f>
        <v/>
      </c>
      <c r="Q18">
        <f>StrapScenario2!Q18</f>
        <v/>
      </c>
    </row>
    <row r="19">
      <c r="A19">
        <f>StrapScenario2!A19</f>
        <v/>
      </c>
      <c r="B19">
        <f>StrapScenario2!B19</f>
        <v/>
      </c>
      <c r="C19">
        <f>StrapScenario2!C19</f>
        <v/>
      </c>
      <c r="D19">
        <f>StrapScenario2!D19*'[1]New UBs'!$J$51</f>
        <v/>
      </c>
      <c r="E19">
        <f>StrapScenario2!E19*'[1]New UBs'!$J$51</f>
        <v/>
      </c>
      <c r="F19">
        <f>StrapScenario2!F19</f>
        <v/>
      </c>
      <c r="G19">
        <f>StrapScenario2!G19</f>
        <v/>
      </c>
      <c r="H19">
        <f>StrapScenario2!H19</f>
        <v/>
      </c>
      <c r="I19">
        <f>StrapScenario2!I19</f>
        <v/>
      </c>
      <c r="J19">
        <f>StrapScenario2!J19</f>
        <v/>
      </c>
      <c r="K19">
        <f>StrapScenario2!K19</f>
        <v/>
      </c>
      <c r="L19">
        <f>StrapScenario2!L19*'[1]New UBs'!$J$51/1000</f>
        <v/>
      </c>
      <c r="M19" s="4">
        <f>StrapScenario2!M19*'[1]New UBs'!$J$51</f>
        <v/>
      </c>
      <c r="N19" s="4">
        <f>StrapScenario2!N19*'[1]New UBs'!$J$51</f>
        <v/>
      </c>
      <c r="O19" s="4">
        <f>StrapScenario2!O19*'[1]New UBs'!$J$51</f>
        <v/>
      </c>
      <c r="P19">
        <f>StrapScenario2!P19</f>
        <v/>
      </c>
      <c r="Q19">
        <f>StrapScenario2!Q19</f>
        <v/>
      </c>
    </row>
    <row r="20">
      <c r="A20">
        <f>StrapScenario2!A20</f>
        <v/>
      </c>
      <c r="B20">
        <f>StrapScenario2!B20</f>
        <v/>
      </c>
      <c r="C20">
        <f>StrapScenario2!C20</f>
        <v/>
      </c>
      <c r="D20">
        <f>StrapScenario2!D20*'[1]New UBs'!$J$51</f>
        <v/>
      </c>
      <c r="E20">
        <f>StrapScenario2!E20*'[1]New UBs'!$J$51</f>
        <v/>
      </c>
      <c r="F20">
        <f>StrapScenario2!F20</f>
        <v/>
      </c>
      <c r="G20">
        <f>StrapScenario2!G20</f>
        <v/>
      </c>
      <c r="H20">
        <f>StrapScenario2!H20</f>
        <v/>
      </c>
      <c r="I20">
        <f>StrapScenario2!I20</f>
        <v/>
      </c>
      <c r="J20">
        <f>StrapScenario2!J20</f>
        <v/>
      </c>
      <c r="K20">
        <f>StrapScenario2!K20</f>
        <v/>
      </c>
      <c r="L20">
        <f>StrapScenario2!L20*'[1]New UBs'!$J$51/1000</f>
        <v/>
      </c>
      <c r="M20" s="4">
        <f>StrapScenario2!M20*'[1]New UBs'!$J$51</f>
        <v/>
      </c>
      <c r="N20" s="4">
        <f>StrapScenario2!N20*'[1]New UBs'!$J$51</f>
        <v/>
      </c>
      <c r="O20" s="4">
        <f>StrapScenario2!O20*'[1]New UBs'!$J$51</f>
        <v/>
      </c>
      <c r="P20">
        <f>StrapScenario2!P20</f>
        <v/>
      </c>
      <c r="Q20">
        <f>StrapScenario2!Q20</f>
        <v/>
      </c>
    </row>
    <row r="21">
      <c r="A21">
        <f>StrapScenario2!A21</f>
        <v/>
      </c>
      <c r="B21">
        <f>StrapScenario2!B21</f>
        <v/>
      </c>
      <c r="C21">
        <f>StrapScenario2!C21</f>
        <v/>
      </c>
      <c r="D21">
        <f>StrapScenario2!D21*'[1]New UBs'!$J$51</f>
        <v/>
      </c>
      <c r="E21">
        <f>StrapScenario2!E21*'[1]New UBs'!$J$51</f>
        <v/>
      </c>
      <c r="F21">
        <f>StrapScenario2!F21</f>
        <v/>
      </c>
      <c r="G21">
        <f>StrapScenario2!G21</f>
        <v/>
      </c>
      <c r="H21">
        <f>StrapScenario2!H21</f>
        <v/>
      </c>
      <c r="I21">
        <f>StrapScenario2!I21</f>
        <v/>
      </c>
      <c r="J21">
        <f>StrapScenario2!J21</f>
        <v/>
      </c>
      <c r="K21">
        <f>StrapScenario2!K21</f>
        <v/>
      </c>
      <c r="L21">
        <f>StrapScenario2!L21*'[1]New UBs'!$J$51/1000</f>
        <v/>
      </c>
      <c r="M21" s="4">
        <f>StrapScenario2!M21*'[1]New UBs'!$J$51</f>
        <v/>
      </c>
      <c r="N21" s="4">
        <f>StrapScenario2!N21*'[1]New UBs'!$J$51</f>
        <v/>
      </c>
      <c r="O21" s="4">
        <f>StrapScenario2!O21*'[1]New UBs'!$J$51</f>
        <v/>
      </c>
      <c r="P21">
        <f>StrapScenario2!P21</f>
        <v/>
      </c>
      <c r="Q21">
        <f>StrapScenario2!Q21</f>
        <v/>
      </c>
    </row>
    <row r="22">
      <c r="A22">
        <f>StrapScenario2!A22</f>
        <v/>
      </c>
      <c r="B22">
        <f>StrapScenario2!B22</f>
        <v/>
      </c>
      <c r="C22">
        <f>StrapScenario2!C22</f>
        <v/>
      </c>
      <c r="D22">
        <f>StrapScenario2!D22*'[1]New UBs'!$J$50</f>
        <v/>
      </c>
      <c r="E22">
        <f>StrapScenario2!E22*'[1]New UBs'!$J$50</f>
        <v/>
      </c>
      <c r="F22">
        <f>StrapScenario2!F22</f>
        <v/>
      </c>
      <c r="G22">
        <f>StrapScenario2!G22</f>
        <v/>
      </c>
      <c r="H22">
        <f>StrapScenario2!H22</f>
        <v/>
      </c>
      <c r="I22">
        <f>StrapScenario2!I22</f>
        <v/>
      </c>
      <c r="J22">
        <f>StrapScenario2!J22</f>
        <v/>
      </c>
      <c r="K22">
        <f>StrapScenario2!K22</f>
        <v/>
      </c>
      <c r="L22">
        <f>StrapScenario2!L22*'[1]New UBs'!$J$50/1000</f>
        <v/>
      </c>
      <c r="M22" s="4">
        <f>StrapScenario2!M22*'[1]New UBs'!$J$50</f>
        <v/>
      </c>
      <c r="N22" s="4">
        <f>StrapScenario2!N22*'[1]New UBs'!$J$50</f>
        <v/>
      </c>
      <c r="O22" s="4">
        <f>StrapScenario2!O22*'[1]New UBs'!$J$50</f>
        <v/>
      </c>
      <c r="P22">
        <f>StrapScenario2!P22</f>
        <v/>
      </c>
      <c r="Q22">
        <f>StrapScenario2!Q22</f>
        <v/>
      </c>
    </row>
    <row r="23">
      <c r="A23">
        <f>StrapScenario2!A23</f>
        <v/>
      </c>
      <c r="B23">
        <f>StrapScenario2!B23</f>
        <v/>
      </c>
      <c r="C23">
        <f>StrapScenario2!C23</f>
        <v/>
      </c>
      <c r="D23">
        <f>StrapScenario2!D23*'[1]New UBs'!$J$50</f>
        <v/>
      </c>
      <c r="E23">
        <f>StrapScenario2!E23*'[1]New UBs'!$J$50</f>
        <v/>
      </c>
      <c r="F23">
        <f>StrapScenario2!F23</f>
        <v/>
      </c>
      <c r="G23">
        <f>StrapScenario2!G23</f>
        <v/>
      </c>
      <c r="H23">
        <f>StrapScenario2!H23</f>
        <v/>
      </c>
      <c r="I23">
        <f>StrapScenario2!I23</f>
        <v/>
      </c>
      <c r="J23">
        <f>StrapScenario2!J23</f>
        <v/>
      </c>
      <c r="K23">
        <f>StrapScenario2!K23</f>
        <v/>
      </c>
      <c r="L23">
        <f>StrapScenario2!L23*'[1]New UBs'!$J$50/1000</f>
        <v/>
      </c>
      <c r="M23" s="4">
        <f>StrapScenario2!M23*'[1]New UBs'!$J$50</f>
        <v/>
      </c>
      <c r="N23" s="4">
        <f>StrapScenario2!N23*'[1]New UBs'!$J$50</f>
        <v/>
      </c>
      <c r="O23" s="4">
        <f>StrapScenario2!O23*'[1]New UBs'!$J$50</f>
        <v/>
      </c>
      <c r="P23">
        <f>StrapScenario2!P23</f>
        <v/>
      </c>
      <c r="Q23">
        <f>StrapScenario2!Q23</f>
        <v/>
      </c>
    </row>
    <row r="24">
      <c r="A24">
        <f>StrapScenario2!A24</f>
        <v/>
      </c>
      <c r="B24">
        <f>StrapScenario2!B24</f>
        <v/>
      </c>
      <c r="C24">
        <f>StrapScenario2!C24</f>
        <v/>
      </c>
      <c r="D24">
        <f>StrapScenario2!D24*'[1]New UBs'!$J$50</f>
        <v/>
      </c>
      <c r="E24">
        <f>StrapScenario2!E24*'[1]New UBs'!$J$50</f>
        <v/>
      </c>
      <c r="F24">
        <f>StrapScenario2!F24</f>
        <v/>
      </c>
      <c r="G24">
        <f>StrapScenario2!G24</f>
        <v/>
      </c>
      <c r="H24">
        <f>StrapScenario2!H24</f>
        <v/>
      </c>
      <c r="I24">
        <f>StrapScenario2!I24</f>
        <v/>
      </c>
      <c r="J24">
        <f>StrapScenario2!J24</f>
        <v/>
      </c>
      <c r="K24">
        <f>StrapScenario2!K24</f>
        <v/>
      </c>
      <c r="L24">
        <f>StrapScenario2!L24*'[1]New UBs'!$J$50/1000</f>
        <v/>
      </c>
      <c r="M24" s="4">
        <f>StrapScenario2!M24*'[1]New UBs'!$J$50</f>
        <v/>
      </c>
      <c r="N24" s="4">
        <f>StrapScenario2!N24*'[1]New UBs'!$J$50</f>
        <v/>
      </c>
      <c r="O24" s="4">
        <f>StrapScenario2!O24*'[1]New UBs'!$J$50</f>
        <v/>
      </c>
      <c r="P24">
        <f>StrapScenario2!P24</f>
        <v/>
      </c>
      <c r="Q24">
        <f>StrapScenario2!Q24</f>
        <v/>
      </c>
    </row>
    <row r="25">
      <c r="A25">
        <f>StrapScenario2!A25</f>
        <v/>
      </c>
      <c r="B25">
        <f>StrapScenario2!B25</f>
        <v/>
      </c>
      <c r="C25">
        <f>StrapScenario2!C25</f>
        <v/>
      </c>
      <c r="D25">
        <f>StrapScenario2!D25*'[1]New UBs'!$J$50</f>
        <v/>
      </c>
      <c r="E25">
        <f>StrapScenario2!E25*'[1]New UBs'!$J$50</f>
        <v/>
      </c>
      <c r="F25">
        <f>StrapScenario2!F25</f>
        <v/>
      </c>
      <c r="G25">
        <f>StrapScenario2!G25</f>
        <v/>
      </c>
      <c r="H25">
        <f>StrapScenario2!H25</f>
        <v/>
      </c>
      <c r="I25">
        <f>StrapScenario2!I25</f>
        <v/>
      </c>
      <c r="J25">
        <f>StrapScenario2!J25</f>
        <v/>
      </c>
      <c r="K25">
        <f>StrapScenario2!K25</f>
        <v/>
      </c>
      <c r="L25">
        <f>StrapScenario2!L25*'[1]New UBs'!$J$50/1000</f>
        <v/>
      </c>
      <c r="M25" s="4">
        <f>StrapScenario2!M25*'[1]New UBs'!$J$50</f>
        <v/>
      </c>
      <c r="N25" s="4">
        <f>StrapScenario2!N25*'[1]New UBs'!$J$50</f>
        <v/>
      </c>
      <c r="O25" s="4">
        <f>StrapScenario2!O25*'[1]New UBs'!$J$50</f>
        <v/>
      </c>
      <c r="P25">
        <f>StrapScenario2!P25</f>
        <v/>
      </c>
      <c r="Q25">
        <f>StrapScenario2!Q25</f>
        <v/>
      </c>
    </row>
    <row r="26">
      <c r="A26">
        <f>StrapScenario2!A26</f>
        <v/>
      </c>
      <c r="B26">
        <f>StrapScenario2!B26</f>
        <v/>
      </c>
      <c r="C26">
        <f>StrapScenario2!C26</f>
        <v/>
      </c>
      <c r="D26">
        <f>StrapScenario2!D26*'[1]New UBs'!$J$50</f>
        <v/>
      </c>
      <c r="E26">
        <f>StrapScenario2!E26*'[1]New UBs'!$J$50</f>
        <v/>
      </c>
      <c r="F26">
        <f>StrapScenario2!F26</f>
        <v/>
      </c>
      <c r="G26">
        <f>StrapScenario2!G26</f>
        <v/>
      </c>
      <c r="H26">
        <f>StrapScenario2!H26</f>
        <v/>
      </c>
      <c r="I26">
        <f>StrapScenario2!I26</f>
        <v/>
      </c>
      <c r="J26">
        <f>StrapScenario2!J26</f>
        <v/>
      </c>
      <c r="K26">
        <f>StrapScenario2!K26</f>
        <v/>
      </c>
      <c r="L26">
        <f>StrapScenario2!L26*'[1]New UBs'!$J$50/1000</f>
        <v/>
      </c>
      <c r="M26" s="4">
        <f>StrapScenario2!M26*'[1]New UBs'!$J$50</f>
        <v/>
      </c>
      <c r="N26" s="4">
        <f>StrapScenario2!N26*'[1]New UBs'!$J$50</f>
        <v/>
      </c>
      <c r="O26" s="4">
        <f>StrapScenario2!O26*'[1]New UBs'!$J$50</f>
        <v/>
      </c>
      <c r="P26">
        <f>StrapScenario2!P26</f>
        <v/>
      </c>
      <c r="Q26">
        <f>StrapScenario2!Q26</f>
        <v/>
      </c>
    </row>
    <row r="27">
      <c r="A27">
        <f>StrapScenario2!A27</f>
        <v/>
      </c>
      <c r="B27">
        <f>StrapScenario2!B27</f>
        <v/>
      </c>
      <c r="C27">
        <f>StrapScenario2!C27</f>
        <v/>
      </c>
      <c r="D27">
        <f>StrapScenario2!D27*'[1]New UBs'!$J$50</f>
        <v/>
      </c>
      <c r="E27">
        <f>StrapScenario2!E27*'[1]New UBs'!$J$50</f>
        <v/>
      </c>
      <c r="F27">
        <f>StrapScenario2!F27</f>
        <v/>
      </c>
      <c r="G27">
        <f>StrapScenario2!G27</f>
        <v/>
      </c>
      <c r="H27">
        <f>StrapScenario2!H27</f>
        <v/>
      </c>
      <c r="I27">
        <f>StrapScenario2!I27</f>
        <v/>
      </c>
      <c r="J27">
        <f>StrapScenario2!J27</f>
        <v/>
      </c>
      <c r="K27">
        <f>StrapScenario2!K27</f>
        <v/>
      </c>
      <c r="L27">
        <f>StrapScenario2!L27*'[1]New UBs'!$J$50/1000</f>
        <v/>
      </c>
      <c r="M27" s="4">
        <f>StrapScenario2!M27*'[1]New UBs'!$J$50</f>
        <v/>
      </c>
      <c r="N27" s="4">
        <f>StrapScenario2!N27*'[1]New UBs'!$J$50</f>
        <v/>
      </c>
      <c r="O27" s="4">
        <f>StrapScenario2!O27*'[1]New UBs'!$J$50</f>
        <v/>
      </c>
      <c r="P27">
        <f>StrapScenario2!P27</f>
        <v/>
      </c>
      <c r="Q27">
        <f>StrapScenario2!Q27</f>
        <v/>
      </c>
    </row>
    <row r="28">
      <c r="A28">
        <f>StrapScenario2!A28</f>
        <v/>
      </c>
      <c r="B28">
        <f>StrapScenario2!B28</f>
        <v/>
      </c>
      <c r="C28">
        <f>StrapScenario2!C28</f>
        <v/>
      </c>
      <c r="D28">
        <f>StrapScenario2!D28*'[1]New UBs'!$J$50</f>
        <v/>
      </c>
      <c r="E28">
        <f>StrapScenario2!E28*'[1]New UBs'!$J$50</f>
        <v/>
      </c>
      <c r="F28">
        <f>StrapScenario2!F28</f>
        <v/>
      </c>
      <c r="G28">
        <f>StrapScenario2!G28</f>
        <v/>
      </c>
      <c r="H28">
        <f>StrapScenario2!H28</f>
        <v/>
      </c>
      <c r="I28">
        <f>StrapScenario2!I28</f>
        <v/>
      </c>
      <c r="J28">
        <f>StrapScenario2!J28</f>
        <v/>
      </c>
      <c r="K28">
        <f>StrapScenario2!K28</f>
        <v/>
      </c>
      <c r="L28">
        <f>StrapScenario2!L28*'[1]New UBs'!$J$50/1000</f>
        <v/>
      </c>
      <c r="M28" s="4">
        <f>StrapScenario2!M28*'[1]New UBs'!$J$50</f>
        <v/>
      </c>
      <c r="N28" s="4">
        <f>StrapScenario2!N28*'[1]New UBs'!$J$50</f>
        <v/>
      </c>
      <c r="O28" s="4">
        <f>StrapScenario2!O28*'[1]New UBs'!$J$50</f>
        <v/>
      </c>
      <c r="P28">
        <f>StrapScenario2!P28</f>
        <v/>
      </c>
      <c r="Q28">
        <f>StrapScenario2!Q28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D2" sqref="D2"/>
    </sheetView>
  </sheetViews>
  <sheetFormatPr baseColWidth="10" defaultRowHeight="16"/>
  <cols>
    <col width="17.1640625" customWidth="1" min="3" max="3"/>
  </cols>
  <sheetData>
    <row r="1" ht="187" customHeight="1">
      <c r="A1" s="78" t="inlineStr">
        <is>
          <t>Wash number</t>
        </is>
      </c>
      <c r="B1" s="78" t="inlineStr">
        <is>
          <t>Polymer</t>
        </is>
      </c>
      <c r="C1" s="78" t="inlineStr">
        <is>
          <t>Solvents</t>
        </is>
      </c>
      <c r="D1" s="78" t="inlineStr">
        <is>
          <t>Total Energy Consumed [MJ/yr]</t>
        </is>
      </c>
      <c r="E1" s="78" t="inlineStr">
        <is>
          <t>Total Renewable Energy Consumed [MJ/yr]</t>
        </is>
      </c>
      <c r="F1" s="78" t="inlineStr">
        <is>
          <t>Total Direct GHG emissions [Scope 1] [metric tons CO2 equivalent [tCO2e/yr]]</t>
        </is>
      </c>
      <c r="G1" s="78" t="inlineStr">
        <is>
          <t>Total Energy indirect GHG emissions (Scope 2) [metric tons CO2 equivalent (t CO2e/yr)]</t>
        </is>
      </c>
      <c r="H1" s="78" t="inlineStr">
        <is>
          <t>Water consumed/discarded [m3/yr]</t>
        </is>
      </c>
      <c r="I1" s="78" t="inlineStr">
        <is>
          <t>Water Recycled or Reused [m3/yr]</t>
        </is>
      </c>
      <c r="J1" s="78" t="inlineStr">
        <is>
          <t>Waste generated - Non Hazardous [kg/yr]</t>
        </is>
      </c>
      <c r="K1" s="78" t="inlineStr">
        <is>
          <t>Waste to Disposal[ton/yr]</t>
        </is>
      </c>
      <c r="L1" s="78" t="inlineStr">
        <is>
          <t>GWP [tonCO2e/yr]</t>
        </is>
      </c>
      <c r="M1" s="78" t="inlineStr">
        <is>
          <t>Human toxicity cancer [CTUh/yr]</t>
        </is>
      </c>
      <c r="N1" s="78" t="inlineStr">
        <is>
          <t>Human toxicity non-cancer [CTUh/yr]</t>
        </is>
      </c>
      <c r="O1" s="78" t="inlineStr">
        <is>
          <t>Ecotoxicity [CTUe/yr]</t>
        </is>
      </c>
      <c r="P1" s="78" t="inlineStr">
        <is>
          <t>CAPEX [USD/yr]</t>
        </is>
      </c>
      <c r="Q1" s="78" t="inlineStr">
        <is>
          <t>OPEX [USD/yr]</t>
        </is>
      </c>
    </row>
    <row r="2">
      <c r="A2" t="inlineStr">
        <is>
          <t>Wash 1</t>
        </is>
      </c>
      <c r="B2" t="inlineStr">
        <is>
          <t>PE</t>
        </is>
      </c>
      <c r="C2" t="inlineStr">
        <is>
          <t>sec-Butyl Acetate</t>
        </is>
      </c>
      <c r="D2" t="n">
        <v>665218245883.6273</v>
      </c>
      <c r="E2" t="n">
        <v>2642745.600000001</v>
      </c>
      <c r="F2" t="n">
        <v>15666.63019162362</v>
      </c>
      <c r="G2" t="n">
        <v>0</v>
      </c>
      <c r="H2" s="24" t="n">
        <v>0</v>
      </c>
      <c r="I2" s="24" t="n">
        <v>52120.53</v>
      </c>
      <c r="J2" t="n">
        <v>0</v>
      </c>
      <c r="K2" t="n">
        <v>0</v>
      </c>
      <c r="L2" t="n">
        <v>15666.63019162362</v>
      </c>
      <c r="M2" s="4" t="n">
        <v>0.5901572639578164</v>
      </c>
      <c r="N2" s="4" t="n">
        <v>0.2849813592682811</v>
      </c>
      <c r="O2" s="4" t="n">
        <v>15918578.82709316</v>
      </c>
      <c r="P2" s="4" t="n">
        <v>1645223.07</v>
      </c>
      <c r="Q2" s="4" t="n">
        <v>2275162.42</v>
      </c>
    </row>
    <row r="3">
      <c r="A3" t="inlineStr">
        <is>
          <t>Wash 1</t>
        </is>
      </c>
      <c r="B3" t="inlineStr">
        <is>
          <t>PE</t>
        </is>
      </c>
      <c r="C3" t="inlineStr">
        <is>
          <t>Isobutyl Acetate</t>
        </is>
      </c>
      <c r="D3" t="n">
        <v>666525829696.7694</v>
      </c>
      <c r="E3" t="n">
        <v>2642745.600000001</v>
      </c>
      <c r="F3" t="n">
        <v>15662.39951584713</v>
      </c>
      <c r="G3" t="n">
        <v>0</v>
      </c>
      <c r="H3" s="24" t="n">
        <v>0</v>
      </c>
      <c r="I3" s="24" t="n">
        <v>51205.64</v>
      </c>
      <c r="J3" t="n">
        <v>0</v>
      </c>
      <c r="K3" t="n">
        <v>0</v>
      </c>
      <c r="L3" t="n">
        <v>15662.39951584713</v>
      </c>
      <c r="M3" s="4" t="n">
        <v>0.5900049962128856</v>
      </c>
      <c r="N3" s="4" t="n">
        <v>0.2849159779978077</v>
      </c>
      <c r="O3" s="4" t="n">
        <v>15914783.60232515</v>
      </c>
      <c r="P3" s="4" t="n">
        <v>1649512.153</v>
      </c>
      <c r="Q3" s="4" t="n">
        <v>2276812.08</v>
      </c>
    </row>
    <row r="4">
      <c r="A4" t="inlineStr">
        <is>
          <t>Wash 1</t>
        </is>
      </c>
      <c r="B4" t="inlineStr">
        <is>
          <t>PE</t>
        </is>
      </c>
      <c r="C4" t="inlineStr">
        <is>
          <t>Tetrachloroethylene</t>
        </is>
      </c>
      <c r="D4" t="n">
        <v>625232124635.0183</v>
      </c>
      <c r="E4" t="n">
        <v>2536588.8</v>
      </c>
      <c r="F4" t="n">
        <v>13455.95924340548</v>
      </c>
      <c r="G4" t="n">
        <v>0</v>
      </c>
      <c r="H4" s="24" t="n">
        <v>0</v>
      </c>
      <c r="I4" s="24" t="n">
        <v>25637.89</v>
      </c>
      <c r="J4" t="n">
        <v>0</v>
      </c>
      <c r="K4" t="n">
        <v>0</v>
      </c>
      <c r="L4" t="n">
        <v>13455.95924340548</v>
      </c>
      <c r="M4" s="4" t="n">
        <v>0.5065779354407081</v>
      </c>
      <c r="N4" s="4" t="n">
        <v>0.2445439553938083</v>
      </c>
      <c r="O4" s="4" t="n">
        <v>13656016.62047045</v>
      </c>
      <c r="P4" s="4" t="n">
        <v>1376265.6805</v>
      </c>
      <c r="Q4" s="4" t="n">
        <v>2154028.06</v>
      </c>
    </row>
    <row r="5">
      <c r="A5" t="inlineStr">
        <is>
          <t>Wash 1</t>
        </is>
      </c>
      <c r="B5" t="inlineStr">
        <is>
          <t>PE</t>
        </is>
      </c>
      <c r="C5" t="inlineStr">
        <is>
          <t>o-Chlorotoluene</t>
        </is>
      </c>
      <c r="D5" t="n">
        <v>659926710982.4099</v>
      </c>
      <c r="E5" t="n">
        <v>2637158.4</v>
      </c>
      <c r="F5" t="n">
        <v>16057.66494595068</v>
      </c>
      <c r="G5" t="n">
        <v>0</v>
      </c>
      <c r="H5" s="24" t="n">
        <v>0</v>
      </c>
      <c r="I5" s="24" t="n">
        <v>63368.91</v>
      </c>
      <c r="J5" t="n">
        <v>0</v>
      </c>
      <c r="K5" t="n">
        <v>0</v>
      </c>
      <c r="L5" t="n">
        <v>16057.66494595068</v>
      </c>
      <c r="M5" s="4" t="n">
        <v>0.6048612169850395</v>
      </c>
      <c r="N5" s="4" t="n">
        <v>0.2920240650367384</v>
      </c>
      <c r="O5" s="4" t="n">
        <v>16314268.07134834</v>
      </c>
      <c r="P5" s="4" t="n">
        <v>1588570.236</v>
      </c>
      <c r="Q5" s="4" t="n">
        <v>2254600.58</v>
      </c>
    </row>
    <row r="6">
      <c r="A6" t="inlineStr">
        <is>
          <t>Wash 1</t>
        </is>
      </c>
      <c r="B6" t="inlineStr">
        <is>
          <t>PE</t>
        </is>
      </c>
      <c r="C6" t="inlineStr">
        <is>
          <t>Methylcyclohexane</t>
        </is>
      </c>
      <c r="D6" t="n">
        <v>666912636947.7731</v>
      </c>
      <c r="E6" t="n">
        <v>2637158.4</v>
      </c>
      <c r="F6" t="n">
        <v>15152.8425063876</v>
      </c>
      <c r="G6" t="n">
        <v>0</v>
      </c>
      <c r="H6" s="24" t="n">
        <v>0</v>
      </c>
      <c r="I6" s="24" t="n">
        <v>42251.83</v>
      </c>
      <c r="J6" t="n">
        <v>0</v>
      </c>
      <c r="K6" t="n">
        <v>0</v>
      </c>
      <c r="L6" t="n">
        <v>15152.8425063876</v>
      </c>
      <c r="M6" s="4" t="n">
        <v>0.570663539923043</v>
      </c>
      <c r="N6" s="4" t="n">
        <v>0.2754378429119639</v>
      </c>
      <c r="O6" s="4" t="n">
        <v>15388132.66903725</v>
      </c>
      <c r="P6" s="4" t="n">
        <v>1674069.678</v>
      </c>
      <c r="Q6" s="4" t="n">
        <v>2284592.11</v>
      </c>
    </row>
    <row r="7">
      <c r="A7" t="inlineStr">
        <is>
          <t>Wash 1</t>
        </is>
      </c>
      <c r="B7" t="inlineStr">
        <is>
          <t>PE</t>
        </is>
      </c>
      <c r="C7" t="inlineStr">
        <is>
          <t>Dodecanol</t>
        </is>
      </c>
      <c r="D7" t="n">
        <v>727818948453.0715</v>
      </c>
      <c r="E7" t="n">
        <v>2866233.6</v>
      </c>
      <c r="F7" t="n">
        <v>23554.24532157016</v>
      </c>
      <c r="G7" t="n">
        <v>0</v>
      </c>
      <c r="H7" s="24" t="n">
        <v>0</v>
      </c>
      <c r="I7" s="24" t="n">
        <v>173624.6</v>
      </c>
      <c r="J7" t="n">
        <v>0</v>
      </c>
      <c r="K7" t="n">
        <v>0</v>
      </c>
      <c r="L7" t="n">
        <v>23554.24532157016</v>
      </c>
      <c r="M7" s="4" t="n">
        <v>0.8876410227096855</v>
      </c>
      <c r="N7" s="4" t="n">
        <v>0.4292968209774043</v>
      </c>
      <c r="O7" s="4" t="n">
        <v>23969106.23537641</v>
      </c>
      <c r="P7" s="4" t="n">
        <v>1894036.3775</v>
      </c>
      <c r="Q7" s="4" t="n">
        <v>2442006.49</v>
      </c>
    </row>
    <row r="8">
      <c r="A8" t="inlineStr">
        <is>
          <t>Wash 1</t>
        </is>
      </c>
      <c r="B8" t="inlineStr">
        <is>
          <t>PE</t>
        </is>
      </c>
      <c r="C8" t="inlineStr">
        <is>
          <t>Heptane</t>
        </is>
      </c>
      <c r="D8" t="n">
        <v>677213565060.4402</v>
      </c>
      <c r="E8" t="n">
        <v>2659507.2</v>
      </c>
      <c r="F8" t="n">
        <v>15568.81932111654</v>
      </c>
      <c r="G8" t="n">
        <v>0</v>
      </c>
      <c r="H8" s="24" t="n">
        <v>0</v>
      </c>
      <c r="I8" s="24" t="n">
        <v>44810.07</v>
      </c>
      <c r="J8" t="n">
        <v>0</v>
      </c>
      <c r="K8" t="n">
        <v>0</v>
      </c>
      <c r="L8" t="n">
        <v>15568.81932111654</v>
      </c>
      <c r="M8" s="4" t="n">
        <v>0.5862860872937612</v>
      </c>
      <c r="N8" s="4" t="n">
        <v>0.2829331972787671</v>
      </c>
      <c r="O8" s="4" t="n">
        <v>15806838.51117178</v>
      </c>
      <c r="P8" s="4" t="n">
        <v>1746245.131</v>
      </c>
      <c r="Q8" s="4" t="n">
        <v>2316306.56</v>
      </c>
    </row>
    <row r="9">
      <c r="A9" t="inlineStr">
        <is>
          <t>Wash 1</t>
        </is>
      </c>
      <c r="B9" t="inlineStr">
        <is>
          <t>PE</t>
        </is>
      </c>
      <c r="C9" t="inlineStr">
        <is>
          <t>Toluene</t>
        </is>
      </c>
      <c r="D9" t="n">
        <v>659990021842.691</v>
      </c>
      <c r="E9" t="n">
        <v>2720966.4</v>
      </c>
      <c r="F9" t="n">
        <v>15074.54702536651</v>
      </c>
      <c r="G9" t="n">
        <v>0</v>
      </c>
      <c r="H9" s="24" t="n">
        <v>0</v>
      </c>
      <c r="I9" s="24" t="n">
        <v>54056.42</v>
      </c>
      <c r="J9" t="n">
        <v>0</v>
      </c>
      <c r="K9" t="n">
        <v>0</v>
      </c>
      <c r="L9" t="n">
        <v>15074.54702536651</v>
      </c>
      <c r="M9" s="4" t="n">
        <v>0.567670166528999</v>
      </c>
      <c r="N9" s="4" t="n">
        <v>0.273950487129699</v>
      </c>
      <c r="O9" s="4" t="n">
        <v>15304638.88995023</v>
      </c>
      <c r="P9" s="4" t="n">
        <v>1935089.606</v>
      </c>
      <c r="Q9" s="4" t="n">
        <v>2416886.2</v>
      </c>
    </row>
    <row r="10">
      <c r="A10" t="inlineStr">
        <is>
          <t>Wash 1</t>
        </is>
      </c>
      <c r="B10" t="inlineStr">
        <is>
          <t>PE</t>
        </is>
      </c>
      <c r="C10" t="inlineStr">
        <is>
          <t>Xylene</t>
        </is>
      </c>
      <c r="D10" t="n">
        <v>670725322277.7625</v>
      </c>
      <c r="E10" t="n">
        <v>2659507.2</v>
      </c>
      <c r="F10" t="n">
        <v>16369.4144402207</v>
      </c>
      <c r="G10" t="n">
        <v>0</v>
      </c>
      <c r="H10" s="24" t="n">
        <v>0</v>
      </c>
      <c r="I10" s="24" t="n">
        <v>64966.4</v>
      </c>
      <c r="J10" t="n">
        <v>0</v>
      </c>
      <c r="K10" t="n">
        <v>0</v>
      </c>
      <c r="L10" t="n">
        <v>16369.4144402207</v>
      </c>
      <c r="M10" s="4" t="n">
        <v>0.6165057331643525</v>
      </c>
      <c r="N10" s="4" t="n">
        <v>0.2975212368273295</v>
      </c>
      <c r="O10" s="4" t="n">
        <v>16621969.03072156</v>
      </c>
      <c r="P10" s="4" t="n">
        <v>1661215.79</v>
      </c>
      <c r="Q10" s="4" t="n">
        <v>2285841.05</v>
      </c>
    </row>
    <row r="11">
      <c r="A11" t="inlineStr">
        <is>
          <t>Wash 1</t>
        </is>
      </c>
      <c r="B11" t="inlineStr">
        <is>
          <t>EVOH</t>
        </is>
      </c>
      <c r="C11" t="inlineStr">
        <is>
          <t>Ethylene Glycol</t>
        </is>
      </c>
      <c r="D11" t="n">
        <v>89342761464.93727</v>
      </c>
      <c r="E11" t="n">
        <v>616454.4</v>
      </c>
      <c r="F11" t="n">
        <v>2529.773421713371</v>
      </c>
      <c r="G11" t="n">
        <v>0</v>
      </c>
      <c r="H11" s="24" t="n">
        <v>0</v>
      </c>
      <c r="I11" s="24" t="n">
        <v>120119.92</v>
      </c>
      <c r="J11" t="n">
        <v>0</v>
      </c>
      <c r="K11" t="n">
        <v>0</v>
      </c>
      <c r="L11" t="n">
        <v>2529.773421713371</v>
      </c>
      <c r="M11" s="4" t="n">
        <v>0.09530995598830956</v>
      </c>
      <c r="N11" s="4" t="n">
        <v>0.0460091048880134</v>
      </c>
      <c r="O11" s="4" t="n">
        <v>2570524.007936024</v>
      </c>
      <c r="P11" s="4" t="n">
        <v>827574.618</v>
      </c>
      <c r="Q11" s="4" t="n">
        <v>1652694.11</v>
      </c>
    </row>
    <row r="12">
      <c r="A12" t="inlineStr">
        <is>
          <t>Wash 1</t>
        </is>
      </c>
      <c r="B12" t="inlineStr">
        <is>
          <t>EVOH</t>
        </is>
      </c>
      <c r="C12" t="inlineStr">
        <is>
          <t>Pyridazine</t>
        </is>
      </c>
      <c r="D12" t="n">
        <v>88149476858.2751</v>
      </c>
      <c r="E12" t="n">
        <v>586656</v>
      </c>
      <c r="F12" t="n">
        <v>2253.380382134857</v>
      </c>
      <c r="G12" t="n">
        <v>0</v>
      </c>
      <c r="H12" s="24" t="n">
        <v>0</v>
      </c>
      <c r="I12" s="24" t="n">
        <v>71782.02</v>
      </c>
      <c r="J12" t="n">
        <v>0</v>
      </c>
      <c r="K12" t="n">
        <v>0</v>
      </c>
      <c r="L12" t="n">
        <v>2253.380382134857</v>
      </c>
      <c r="M12" s="4" t="n">
        <v>0.08494352237307626</v>
      </c>
      <c r="N12" s="4" t="n">
        <v>0.04107984659757677</v>
      </c>
      <c r="O12" s="4" t="n">
        <v>2297013.610876977</v>
      </c>
      <c r="P12" s="4" t="n">
        <v>831337.1199999999</v>
      </c>
      <c r="Q12" s="4" t="n">
        <v>1648470.28</v>
      </c>
    </row>
    <row r="13">
      <c r="A13" t="inlineStr">
        <is>
          <t>Wash 2</t>
        </is>
      </c>
      <c r="B13" t="inlineStr">
        <is>
          <t>PE</t>
        </is>
      </c>
      <c r="C13" t="inlineStr">
        <is>
          <t>sec-Butyl Acetate</t>
        </is>
      </c>
      <c r="D13" t="n">
        <v>665218245883.6273</v>
      </c>
      <c r="E13" t="n">
        <v>2637158.4</v>
      </c>
      <c r="F13" t="n">
        <v>15666.63019162362</v>
      </c>
      <c r="G13" t="n">
        <v>0</v>
      </c>
      <c r="H13" s="24" t="n">
        <v>0</v>
      </c>
      <c r="I13" s="24" t="n">
        <v>49212.73</v>
      </c>
      <c r="J13" t="n">
        <v>0</v>
      </c>
      <c r="K13" t="n">
        <v>0</v>
      </c>
      <c r="L13" t="n">
        <v>15666.63019162362</v>
      </c>
      <c r="M13" s="4" t="n">
        <v>0.5901572639578164</v>
      </c>
      <c r="N13" s="4" t="n">
        <v>0.2849813592682811</v>
      </c>
      <c r="O13" s="4" t="n">
        <v>15918578.82709316</v>
      </c>
      <c r="P13" s="4" t="n">
        <v>1640984.363</v>
      </c>
      <c r="Q13" s="4" t="n">
        <v>2267582.92</v>
      </c>
    </row>
    <row r="14">
      <c r="A14" t="inlineStr">
        <is>
          <t>Wash 2</t>
        </is>
      </c>
      <c r="B14" t="inlineStr">
        <is>
          <t>PE</t>
        </is>
      </c>
      <c r="C14" t="inlineStr">
        <is>
          <t>Isobutyl Acetate</t>
        </is>
      </c>
      <c r="D14" t="n">
        <v>666525829696.7694</v>
      </c>
      <c r="E14" t="n">
        <v>2637158.4</v>
      </c>
      <c r="F14" t="n">
        <v>15662.39951584713</v>
      </c>
      <c r="G14" t="n">
        <v>0</v>
      </c>
      <c r="H14" s="24" t="n">
        <v>0</v>
      </c>
      <c r="I14" s="24" t="n">
        <v>48512.56</v>
      </c>
      <c r="J14" t="n">
        <v>0</v>
      </c>
      <c r="K14" t="n">
        <v>0</v>
      </c>
      <c r="L14" t="n">
        <v>15662.39951584713</v>
      </c>
      <c r="M14" s="4" t="n">
        <v>0.5900049962128856</v>
      </c>
      <c r="N14" s="4" t="n">
        <v>0.2849159779978077</v>
      </c>
      <c r="O14" s="4" t="n">
        <v>15914783.60232515</v>
      </c>
      <c r="P14" s="4" t="n">
        <v>1652358.963</v>
      </c>
      <c r="Q14" s="4" t="n">
        <v>2272080.28</v>
      </c>
    </row>
    <row r="15">
      <c r="A15" t="inlineStr">
        <is>
          <t>Wash 2</t>
        </is>
      </c>
      <c r="B15" t="inlineStr">
        <is>
          <t>PE</t>
        </is>
      </c>
      <c r="C15" t="inlineStr">
        <is>
          <t>Tetrachloroethylene</t>
        </is>
      </c>
      <c r="D15" t="n">
        <v>625232124635.0183</v>
      </c>
      <c r="E15" t="n">
        <v>2536588.8</v>
      </c>
      <c r="F15" t="n">
        <v>13455.95924340548</v>
      </c>
      <c r="G15" t="n">
        <v>0</v>
      </c>
      <c r="H15" s="24" t="n">
        <v>0</v>
      </c>
      <c r="I15" s="24" t="n">
        <v>23781.35</v>
      </c>
      <c r="J15" t="n">
        <v>0</v>
      </c>
      <c r="K15" t="n">
        <v>0</v>
      </c>
      <c r="L15" t="n">
        <v>13455.95924340548</v>
      </c>
      <c r="M15" s="4" t="n">
        <v>0.5065779354407081</v>
      </c>
      <c r="N15" s="4" t="n">
        <v>0.2445439553938083</v>
      </c>
      <c r="O15" s="4" t="n">
        <v>13656016.62047045</v>
      </c>
      <c r="P15" s="4" t="n">
        <v>1371700.307</v>
      </c>
      <c r="Q15" s="4" t="n">
        <v>2146420.51</v>
      </c>
    </row>
    <row r="16">
      <c r="A16" t="inlineStr">
        <is>
          <t>Wash 2</t>
        </is>
      </c>
      <c r="B16" t="inlineStr">
        <is>
          <t>PE</t>
        </is>
      </c>
      <c r="C16" t="inlineStr">
        <is>
          <t>o-Chlorotoluene</t>
        </is>
      </c>
      <c r="D16" t="n">
        <v>659926710982.4099</v>
      </c>
      <c r="E16" t="n">
        <v>2631571.2</v>
      </c>
      <c r="F16" t="n">
        <v>16057.66494595068</v>
      </c>
      <c r="G16" t="n">
        <v>0</v>
      </c>
      <c r="H16" s="24" t="n">
        <v>0</v>
      </c>
      <c r="I16" s="24" t="n">
        <v>60319.06</v>
      </c>
      <c r="J16" t="n">
        <v>0</v>
      </c>
      <c r="K16" t="n">
        <v>0</v>
      </c>
      <c r="L16" t="n">
        <v>16057.66494595068</v>
      </c>
      <c r="M16" s="4" t="n">
        <v>0.6048612169850395</v>
      </c>
      <c r="N16" s="4" t="n">
        <v>0.2920240650367384</v>
      </c>
      <c r="O16" s="4" t="n">
        <v>16314268.07134834</v>
      </c>
      <c r="P16" s="4" t="n">
        <v>1590719.481</v>
      </c>
      <c r="Q16" s="4" t="n">
        <v>2249419.66</v>
      </c>
    </row>
    <row r="17">
      <c r="A17" t="inlineStr">
        <is>
          <t>Wash 2</t>
        </is>
      </c>
      <c r="B17" t="inlineStr">
        <is>
          <t>PE</t>
        </is>
      </c>
      <c r="C17" t="inlineStr">
        <is>
          <t>Methylcyclohexane</t>
        </is>
      </c>
      <c r="D17" t="n">
        <v>666912636947.7731</v>
      </c>
      <c r="E17" t="n">
        <v>2631571.2</v>
      </c>
      <c r="F17" t="n">
        <v>15152.8425063876</v>
      </c>
      <c r="G17" t="n">
        <v>0</v>
      </c>
      <c r="H17" s="24" t="n">
        <v>0</v>
      </c>
      <c r="I17" s="24" t="n">
        <v>39219.93</v>
      </c>
      <c r="J17" t="n">
        <v>0</v>
      </c>
      <c r="K17" t="n">
        <v>0</v>
      </c>
      <c r="L17" t="n">
        <v>15152.8425063876</v>
      </c>
      <c r="M17" s="4" t="n">
        <v>0.570663539923043</v>
      </c>
      <c r="N17" s="4" t="n">
        <v>0.2754378429119639</v>
      </c>
      <c r="O17" s="4" t="n">
        <v>15388132.66903725</v>
      </c>
      <c r="P17" s="4" t="n">
        <v>1670234.7225</v>
      </c>
      <c r="Q17" s="4" t="n">
        <v>2277293.86</v>
      </c>
    </row>
    <row r="18">
      <c r="A18" t="inlineStr">
        <is>
          <t>Wash 2</t>
        </is>
      </c>
      <c r="B18" t="inlineStr">
        <is>
          <t>PE</t>
        </is>
      </c>
      <c r="C18" t="inlineStr">
        <is>
          <t>Dodecanol</t>
        </is>
      </c>
      <c r="D18" t="n">
        <v>727818948453.0715</v>
      </c>
      <c r="E18" t="n">
        <v>2855059.2</v>
      </c>
      <c r="F18" t="n">
        <v>23554.24532157016</v>
      </c>
      <c r="G18" t="n">
        <v>0</v>
      </c>
      <c r="H18" s="24" t="n">
        <v>0</v>
      </c>
      <c r="I18" s="24" t="n">
        <v>168466.47</v>
      </c>
      <c r="J18" t="n">
        <v>0</v>
      </c>
      <c r="K18" t="n">
        <v>0</v>
      </c>
      <c r="L18" t="n">
        <v>23554.24532157016</v>
      </c>
      <c r="M18" s="4" t="n">
        <v>0.8876410227096855</v>
      </c>
      <c r="N18" s="4" t="n">
        <v>0.4292968209774043</v>
      </c>
      <c r="O18" s="4" t="n">
        <v>23969106.23537641</v>
      </c>
      <c r="P18" s="4" t="n">
        <v>1893805.082</v>
      </c>
      <c r="Q18" s="4" t="n">
        <v>2434084.1</v>
      </c>
    </row>
    <row r="19">
      <c r="A19" t="inlineStr">
        <is>
          <t>Wash 2</t>
        </is>
      </c>
      <c r="B19" t="inlineStr">
        <is>
          <t>PE</t>
        </is>
      </c>
      <c r="C19" t="inlineStr">
        <is>
          <t>Heptane</t>
        </is>
      </c>
      <c r="D19" t="n">
        <v>677213565060.4402</v>
      </c>
      <c r="E19" t="n">
        <v>2653920</v>
      </c>
      <c r="F19" t="n">
        <v>15568.81932111654</v>
      </c>
      <c r="G19" t="n">
        <v>0</v>
      </c>
      <c r="H19" s="24" t="n">
        <v>0</v>
      </c>
      <c r="I19" s="24" t="n">
        <v>41810.72</v>
      </c>
      <c r="J19" t="n">
        <v>0</v>
      </c>
      <c r="K19" t="n">
        <v>0</v>
      </c>
      <c r="L19" t="n">
        <v>15568.81932111654</v>
      </c>
      <c r="M19" s="4" t="n">
        <v>0.5862860872937612</v>
      </c>
      <c r="N19" s="4" t="n">
        <v>0.2829331972787671</v>
      </c>
      <c r="O19" s="4" t="n">
        <v>15806838.51117178</v>
      </c>
      <c r="P19" s="4" t="n">
        <v>1742565.4565</v>
      </c>
      <c r="Q19" s="4" t="n">
        <v>2309073.1</v>
      </c>
    </row>
    <row r="20">
      <c r="A20" t="inlineStr">
        <is>
          <t>Wash 2</t>
        </is>
      </c>
      <c r="B20" t="inlineStr">
        <is>
          <t>PE</t>
        </is>
      </c>
      <c r="C20" t="inlineStr">
        <is>
          <t>Toluene</t>
        </is>
      </c>
      <c r="D20" t="n">
        <v>659990021842.691</v>
      </c>
      <c r="E20" t="n">
        <v>2715379.2</v>
      </c>
      <c r="F20" t="n">
        <v>15074.54702536651</v>
      </c>
      <c r="G20" t="n">
        <v>0</v>
      </c>
      <c r="H20" s="24" t="n">
        <v>0</v>
      </c>
      <c r="I20" s="24" t="n">
        <v>50538.24</v>
      </c>
      <c r="J20" t="n">
        <v>0</v>
      </c>
      <c r="K20" t="n">
        <v>0</v>
      </c>
      <c r="L20" t="n">
        <v>15074.54702536651</v>
      </c>
      <c r="M20" s="4" t="n">
        <v>0.567670166528999</v>
      </c>
      <c r="N20" s="4" t="n">
        <v>0.273950487129699</v>
      </c>
      <c r="O20" s="4" t="n">
        <v>15304638.88995023</v>
      </c>
      <c r="P20" s="4" t="n">
        <v>1929337.8795</v>
      </c>
      <c r="Q20" s="4" t="n">
        <v>2407639.91</v>
      </c>
    </row>
    <row r="21">
      <c r="A21" t="inlineStr">
        <is>
          <t>Wash 2</t>
        </is>
      </c>
      <c r="B21" t="inlineStr">
        <is>
          <t>PE</t>
        </is>
      </c>
      <c r="C21" t="inlineStr">
        <is>
          <t>Xylene</t>
        </is>
      </c>
      <c r="D21" t="n">
        <v>670725322277.7625</v>
      </c>
      <c r="E21" t="n">
        <v>2653920</v>
      </c>
      <c r="F21" t="n">
        <v>16369.4144402207</v>
      </c>
      <c r="G21" t="n">
        <v>0</v>
      </c>
      <c r="H21" s="24" t="n">
        <v>0</v>
      </c>
      <c r="I21" s="24" t="n">
        <v>61892.36</v>
      </c>
      <c r="J21" t="n">
        <v>0</v>
      </c>
      <c r="K21" t="n">
        <v>0</v>
      </c>
      <c r="L21" t="n">
        <v>16369.4144402207</v>
      </c>
      <c r="M21" s="4" t="n">
        <v>0.6165057331643525</v>
      </c>
      <c r="N21" s="4" t="n">
        <v>0.2975212368273295</v>
      </c>
      <c r="O21" s="4" t="n">
        <v>16621969.03072156</v>
      </c>
      <c r="P21" s="4" t="n">
        <v>1663924.6505</v>
      </c>
      <c r="Q21" s="4" t="n">
        <v>2281014.05</v>
      </c>
    </row>
    <row r="22">
      <c r="A22" t="inlineStr">
        <is>
          <t>Wash 2</t>
        </is>
      </c>
      <c r="B22" t="inlineStr">
        <is>
          <t>EVOH</t>
        </is>
      </c>
      <c r="C22" t="inlineStr">
        <is>
          <t>butane-1,4-diol</t>
        </is>
      </c>
      <c r="D22" t="n">
        <v>90134099706.92458</v>
      </c>
      <c r="E22" t="n">
        <v>508435.2</v>
      </c>
      <c r="F22" t="n">
        <v>2565.276057210292</v>
      </c>
      <c r="G22" t="n">
        <v>0</v>
      </c>
      <c r="H22" s="24" t="n">
        <v>0</v>
      </c>
      <c r="I22" s="24" t="n">
        <v>41610.4</v>
      </c>
      <c r="J22" t="n">
        <v>0</v>
      </c>
      <c r="K22" t="n">
        <v>0</v>
      </c>
      <c r="L22" t="n">
        <v>2565.276057210292</v>
      </c>
      <c r="M22" s="4" t="n">
        <v>0.09665374264898116</v>
      </c>
      <c r="N22" s="4" t="n">
        <v>0.04667233807461426</v>
      </c>
      <c r="O22" s="4" t="n">
        <v>2607236.909158523</v>
      </c>
      <c r="P22" s="4" t="n">
        <v>689012.1555</v>
      </c>
      <c r="Q22" s="4" t="n">
        <v>1537896.15</v>
      </c>
    </row>
    <row r="23">
      <c r="A23" t="inlineStr">
        <is>
          <t>Wash 2</t>
        </is>
      </c>
      <c r="B23" t="inlineStr">
        <is>
          <t>EVOH</t>
        </is>
      </c>
      <c r="C23" t="inlineStr">
        <is>
          <t>Diethanolamine</t>
        </is>
      </c>
      <c r="D23" t="n">
        <v>92490994507.14915</v>
      </c>
      <c r="E23" t="n">
        <v>529852.7999999999</v>
      </c>
      <c r="F23" t="n">
        <v>3028.972136532676</v>
      </c>
      <c r="G23" t="n">
        <v>0</v>
      </c>
      <c r="H23" s="24" t="n">
        <v>0</v>
      </c>
      <c r="I23" s="24" t="n">
        <v>54352.05</v>
      </c>
      <c r="J23" t="n">
        <v>0</v>
      </c>
      <c r="K23" t="n">
        <v>0</v>
      </c>
      <c r="L23" t="n">
        <v>3028.972136532676</v>
      </c>
      <c r="M23" s="4" t="n">
        <v>0.1141330137212786</v>
      </c>
      <c r="N23" s="4" t="n">
        <v>0.05509588721995031</v>
      </c>
      <c r="O23" s="4" t="n">
        <v>3078412.941014688</v>
      </c>
      <c r="P23" s="4" t="n">
        <v>698559.1495000001</v>
      </c>
      <c r="Q23" s="4" t="n">
        <v>1545932.08</v>
      </c>
    </row>
    <row r="24">
      <c r="A24" t="inlineStr">
        <is>
          <t>Wash 2</t>
        </is>
      </c>
      <c r="B24" t="inlineStr">
        <is>
          <t>EVOH</t>
        </is>
      </c>
      <c r="C24" t="inlineStr">
        <is>
          <t>Diethylene glycol</t>
        </is>
      </c>
      <c r="D24" t="n">
        <v>90614396758.013</v>
      </c>
      <c r="E24" t="n">
        <v>515884.8</v>
      </c>
      <c r="F24" t="n">
        <v>2753.285671646665</v>
      </c>
      <c r="G24" t="n">
        <v>0</v>
      </c>
      <c r="H24" s="24" t="n">
        <v>0</v>
      </c>
      <c r="I24" s="24" t="n">
        <v>44366.54</v>
      </c>
      <c r="J24" t="n">
        <v>0</v>
      </c>
      <c r="K24" t="n">
        <v>0</v>
      </c>
      <c r="L24" t="n">
        <v>2753.285671646665</v>
      </c>
      <c r="M24" s="4" t="n">
        <v>0.1037393304550327</v>
      </c>
      <c r="N24" s="4" t="n">
        <v>0.05008010384483747</v>
      </c>
      <c r="O24" s="4" t="n">
        <v>2798015.393103261</v>
      </c>
      <c r="P24" s="4" t="n">
        <v>690225.7154999999</v>
      </c>
      <c r="Q24" s="4" t="n">
        <v>1539855.94</v>
      </c>
    </row>
    <row r="25">
      <c r="A25" t="inlineStr">
        <is>
          <t>Wash 2</t>
        </is>
      </c>
      <c r="B25" t="inlineStr">
        <is>
          <t>EVOH</t>
        </is>
      </c>
      <c r="C25" t="inlineStr">
        <is>
          <t>Ethylene Glycol</t>
        </is>
      </c>
      <c r="D25" t="n">
        <v>89342761464.93727</v>
      </c>
      <c r="E25" t="n">
        <v>506572.8</v>
      </c>
      <c r="F25" t="n">
        <v>2529.773421713371</v>
      </c>
      <c r="G25" t="n">
        <v>0</v>
      </c>
      <c r="H25" s="24" t="n">
        <v>0</v>
      </c>
      <c r="I25" s="24" t="n">
        <v>49348.09</v>
      </c>
      <c r="J25" t="n">
        <v>0</v>
      </c>
      <c r="K25" t="n">
        <v>0</v>
      </c>
      <c r="L25" t="n">
        <v>2529.773421713371</v>
      </c>
      <c r="M25" s="4" t="n">
        <v>0.09530995598830956</v>
      </c>
      <c r="N25" s="4" t="n">
        <v>0.0460091048880134</v>
      </c>
      <c r="O25" s="4" t="n">
        <v>2570524.007936024</v>
      </c>
      <c r="P25" s="4" t="n">
        <v>675364.0695</v>
      </c>
      <c r="Q25" s="4" t="n">
        <v>1532067.09</v>
      </c>
    </row>
    <row r="26">
      <c r="A26" t="inlineStr">
        <is>
          <t>Wash 2</t>
        </is>
      </c>
      <c r="B26" t="inlineStr">
        <is>
          <t>EVOH</t>
        </is>
      </c>
      <c r="C26" t="inlineStr">
        <is>
          <t>Propylene Glycol</t>
        </is>
      </c>
      <c r="D26" t="n">
        <v>89863478529.43782</v>
      </c>
      <c r="E26" t="n">
        <v>506572.8</v>
      </c>
      <c r="F26" t="n">
        <v>2533.752934774764</v>
      </c>
      <c r="G26" t="n">
        <v>0</v>
      </c>
      <c r="H26" s="24" t="n">
        <v>0</v>
      </c>
      <c r="I26" s="24" t="n">
        <v>44465.78</v>
      </c>
      <c r="J26" t="n">
        <v>0</v>
      </c>
      <c r="K26" t="n">
        <v>0</v>
      </c>
      <c r="L26" t="n">
        <v>2533.752934774764</v>
      </c>
      <c r="M26" s="4" t="n">
        <v>0.09548443473022909</v>
      </c>
      <c r="N26" s="4" t="n">
        <v>0.04612035685787398</v>
      </c>
      <c r="O26" s="4" t="n">
        <v>2576485.869249226</v>
      </c>
      <c r="P26" s="4" t="n">
        <v>686420.9135</v>
      </c>
      <c r="Q26" s="4" t="n">
        <v>1536406.06</v>
      </c>
    </row>
    <row r="27">
      <c r="A27" t="inlineStr">
        <is>
          <t>Wash 2</t>
        </is>
      </c>
      <c r="B27" t="inlineStr">
        <is>
          <t>EVOH</t>
        </is>
      </c>
      <c r="C27" t="inlineStr">
        <is>
          <t>Pyridazine</t>
        </is>
      </c>
      <c r="D27" t="n">
        <v>88149476858.2751</v>
      </c>
      <c r="E27" t="n">
        <v>492604.8</v>
      </c>
      <c r="F27" t="n">
        <v>2253.380382134857</v>
      </c>
      <c r="G27" t="n">
        <v>0</v>
      </c>
      <c r="H27" s="24" t="n">
        <v>0</v>
      </c>
      <c r="I27" s="24" t="n">
        <v>29775.3</v>
      </c>
      <c r="J27" t="n">
        <v>0</v>
      </c>
      <c r="K27" t="n">
        <v>0</v>
      </c>
      <c r="L27" t="n">
        <v>2253.380382134857</v>
      </c>
      <c r="M27" s="4" t="n">
        <v>0.08494352237307626</v>
      </c>
      <c r="N27" s="4" t="n">
        <v>0.04107984659757677</v>
      </c>
      <c r="O27" s="4" t="n">
        <v>2297013.610876977</v>
      </c>
      <c r="P27" s="4" t="n">
        <v>667391.446</v>
      </c>
      <c r="Q27" s="4" t="n">
        <v>1527148.15</v>
      </c>
    </row>
    <row r="28">
      <c r="A28" t="inlineStr">
        <is>
          <t>Wash 2</t>
        </is>
      </c>
      <c r="B28" t="inlineStr">
        <is>
          <t>EVOH</t>
        </is>
      </c>
      <c r="C28" t="inlineStr">
        <is>
          <t>gamma-butyrolactone</t>
        </is>
      </c>
      <c r="D28" t="n">
        <v>87293358948.14078</v>
      </c>
      <c r="E28" t="n">
        <v>490742.4</v>
      </c>
      <c r="F28" t="n">
        <v>2273.962855540778</v>
      </c>
      <c r="G28" t="n">
        <v>0</v>
      </c>
      <c r="H28" s="24" t="n">
        <v>0</v>
      </c>
      <c r="I28" s="24" t="n">
        <v>30701.09</v>
      </c>
      <c r="J28" t="n">
        <v>0</v>
      </c>
      <c r="K28" t="n">
        <v>0</v>
      </c>
      <c r="L28" t="n">
        <v>2273.962855540778</v>
      </c>
      <c r="M28" s="4" t="n">
        <v>0.08567846229283269</v>
      </c>
      <c r="N28" s="4" t="n">
        <v>0.04138392778491727</v>
      </c>
      <c r="O28" s="4" t="n">
        <v>2311690.738112581</v>
      </c>
      <c r="P28" s="4" t="n">
        <v>650094.7784999999</v>
      </c>
      <c r="Q28" s="4" t="n">
        <v>1520227.69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J6" sqref="J6"/>
    </sheetView>
  </sheetViews>
  <sheetFormatPr baseColWidth="10" defaultRowHeight="16"/>
  <cols>
    <col width="20.6640625" customWidth="1" min="1" max="2"/>
    <col width="11.6640625" bestFit="1" customWidth="1" min="10" max="10"/>
    <col width="12.1640625" bestFit="1" customWidth="1" min="11" max="11"/>
  </cols>
  <sheetData>
    <row r="1" ht="170" customHeight="1">
      <c r="A1" s="1" t="inlineStr">
        <is>
          <t>Technology</t>
        </is>
      </c>
      <c r="B1" s="1">
        <f>'[1]Final Data (use this)'!E3</f>
        <v/>
      </c>
      <c r="C1" s="1">
        <f>'[1]Final Data (use this)'!F3</f>
        <v/>
      </c>
      <c r="D1" s="1">
        <f>'[1]Final Data (use this)'!H3</f>
        <v/>
      </c>
      <c r="E1" s="1">
        <f>'[1]Final Data (use this)'!I3</f>
        <v/>
      </c>
      <c r="F1" s="1">
        <f>'[1]Final Data (use this)'!L3</f>
        <v/>
      </c>
      <c r="G1" s="1">
        <f>'[1]Final Data (use this)'!M3</f>
        <v/>
      </c>
      <c r="H1" s="1">
        <f>'[1]Final Data (use this)'!O3</f>
        <v/>
      </c>
      <c r="I1" s="1">
        <f>'[1]Final Data (use this)'!P3</f>
        <v/>
      </c>
      <c r="J1" s="1">
        <f>'[1]Final Data (use this)'!R3</f>
        <v/>
      </c>
      <c r="K1" s="1" t="inlineStr">
        <is>
          <t>Human toxicity cancer [CTUh/ton resin]</t>
        </is>
      </c>
      <c r="L1" s="1" t="inlineStr">
        <is>
          <t>Human toxicity non-cancer [CTUh/ton resin]</t>
        </is>
      </c>
      <c r="M1" s="1" t="inlineStr">
        <is>
          <t>Ecotoxicity [CTUe/ton resin]</t>
        </is>
      </c>
      <c r="N1" s="1" t="inlineStr">
        <is>
          <t>CAPEX [USD/yr]</t>
        </is>
      </c>
      <c r="O1" s="1" t="inlineStr">
        <is>
          <t>OPEX [USD/ton]</t>
        </is>
      </c>
    </row>
    <row r="2" ht="51" customHeight="1">
      <c r="A2" s="1">
        <f>'[1]Final Data (use this)'!D7</f>
        <v/>
      </c>
      <c r="B2" s="1">
        <f>'[1]Final Data (use this)'!E7+'[12]CE Index Scenarios COMPLETE)'!$J$2*9.2</f>
        <v/>
      </c>
      <c r="C2" s="1">
        <f>'[1]Final Data (use this)'!F7</f>
        <v/>
      </c>
      <c r="D2" s="1">
        <f>J2</f>
        <v/>
      </c>
      <c r="E2" s="1">
        <f>'[1]Final Data (use this)'!I7</f>
        <v/>
      </c>
      <c r="F2" s="1">
        <f>'[1]Final Data (use this)'!J7</f>
        <v/>
      </c>
      <c r="G2" s="1">
        <f>'[1]Final Data (use this)'!K7</f>
        <v/>
      </c>
      <c r="H2" t="n">
        <v>0</v>
      </c>
      <c r="I2" s="1" t="n">
        <v>1</v>
      </c>
      <c r="J2" s="1">
        <f>0.0816+0.328/(1000*0.621371)*9.2</f>
        <v/>
      </c>
      <c r="K2" s="14">
        <f>0.00000000612*1000</f>
        <v/>
      </c>
      <c r="L2" s="14">
        <f>0.000000808*1000</f>
        <v/>
      </c>
      <c r="M2" s="1">
        <f>45*1000</f>
        <v/>
      </c>
      <c r="N2" s="2" t="n">
        <v>0</v>
      </c>
      <c r="O2" s="2" t="n">
        <v>7.83599</v>
      </c>
    </row>
    <row r="3" ht="17" customHeight="1">
      <c r="A3" s="1">
        <f>'[1]Final Data (use this)'!D8</f>
        <v/>
      </c>
      <c r="B3" s="1">
        <f>'[1]Final Data (use this)'!E8+'[12]CE Index Scenarios COMPLETE)'!$J$2*151</f>
        <v/>
      </c>
      <c r="C3" s="1">
        <f>252*0.12</f>
        <v/>
      </c>
      <c r="D3" s="1">
        <f>J3</f>
        <v/>
      </c>
      <c r="E3" s="1">
        <f>'[1]Final Data (use this)'!I8</f>
        <v/>
      </c>
      <c r="F3" s="1" t="n">
        <v>1.81</v>
      </c>
      <c r="G3" s="1" t="n">
        <v>1.81</v>
      </c>
      <c r="H3" t="n">
        <v>0.1</v>
      </c>
      <c r="I3" s="1">
        <f>'[1]Final Data (use this)'!M8</f>
        <v/>
      </c>
      <c r="J3">
        <f>2.38+0.328/(1000*0.621371)*151</f>
        <v/>
      </c>
      <c r="K3">
        <f>0.0000000794*1000</f>
        <v/>
      </c>
      <c r="L3">
        <f>0.000000367*1000</f>
        <v/>
      </c>
      <c r="M3">
        <f>44.7*1000</f>
        <v/>
      </c>
      <c r="N3" s="2" t="n">
        <v>0</v>
      </c>
      <c r="O3" s="2" t="n">
        <v>0</v>
      </c>
    </row>
    <row r="4" ht="17" customHeight="1">
      <c r="A4" s="1">
        <f>'[1]Final Data (use this)'!D9</f>
        <v/>
      </c>
      <c r="B4" s="69">
        <f>'[1]Final Data (use this)'!E9+'[12]CE Index Scenarios COMPLETE)'!$J$2*1034</f>
        <v/>
      </c>
      <c r="C4" s="3">
        <f>'[1]Final Data (use this)'!F9+C5</f>
        <v/>
      </c>
      <c r="D4" s="1">
        <f>J4</f>
        <v/>
      </c>
      <c r="E4" s="1">
        <f>'[1]Final Data (use this)'!I9</f>
        <v/>
      </c>
      <c r="F4" s="3">
        <f>'[1]Final Data (use this)'!J9+F5</f>
        <v/>
      </c>
      <c r="G4" s="3">
        <f>'[1]Final Data (use this)'!K9+G5</f>
        <v/>
      </c>
      <c r="H4" t="n">
        <v>250</v>
      </c>
      <c r="I4" s="3">
        <f>'[1]Final Data (use this)'!M9+I5</f>
        <v/>
      </c>
      <c r="J4" s="1">
        <f>'[1]Final Data (use this)'!N9+0.41/(1000*0.621371)*1034</f>
        <v/>
      </c>
      <c r="K4" s="1">
        <f>'[1]Final Data (use this)'!O9</f>
        <v/>
      </c>
      <c r="L4" s="1">
        <f>'[1]Final Data (use this)'!P9</f>
        <v/>
      </c>
      <c r="M4" s="1">
        <f>'[1]Final Data (use this)'!Q9</f>
        <v/>
      </c>
      <c r="N4" s="2">
        <f>'[1]Final Data (use this)'!T9</f>
        <v/>
      </c>
      <c r="O4" s="2" t="n">
        <v>153.4067</v>
      </c>
    </row>
    <row r="5">
      <c r="A5" t="inlineStr">
        <is>
          <t>Gasif. For Energy Recovery</t>
        </is>
      </c>
      <c r="B5">
        <f>4976.445044+'[12]CE Index Scenarios COMPLETE)'!$J$2*0</f>
        <v/>
      </c>
      <c r="C5">
        <f>[13]Gasification_Technologies!$D$2</f>
        <v/>
      </c>
      <c r="D5">
        <f>J5</f>
        <v/>
      </c>
      <c r="E5" t="n">
        <v>0</v>
      </c>
      <c r="F5">
        <f>[13]Gasification_Technologies!H2</f>
        <v/>
      </c>
      <c r="G5">
        <f>[13]Gasification_Technologies!I2</f>
        <v/>
      </c>
      <c r="H5" t="n">
        <v>387.663</v>
      </c>
      <c r="I5" t="n">
        <v>0</v>
      </c>
      <c r="J5">
        <f>[13]Gasification_Technologies!M2+0.328/(1000*0.621371)*0</f>
        <v/>
      </c>
      <c r="K5">
        <f>[13]Gasification_Technologies!N2</f>
        <v/>
      </c>
      <c r="L5">
        <f>[13]Gasification_Technologies!O2</f>
        <v/>
      </c>
      <c r="M5">
        <f>[13]Gasification_Technologies!P2</f>
        <v/>
      </c>
      <c r="N5">
        <f>[13]Gasification_Technologies!$T$2*1000000</f>
        <v/>
      </c>
      <c r="O5">
        <f>[13]Gasification_Technologies!$X$2</f>
        <v/>
      </c>
    </row>
    <row r="6">
      <c r="A6" t="inlineStr">
        <is>
          <t>Gasif. For H2</t>
        </is>
      </c>
      <c r="B6">
        <f>6182.35294117647+'[12]CE Index Scenarios COMPLETE)'!$J$2*2036</f>
        <v/>
      </c>
      <c r="C6">
        <f>[13]Gasification_Technologies!$D$3</f>
        <v/>
      </c>
      <c r="D6">
        <f>J6</f>
        <v/>
      </c>
      <c r="E6" t="n">
        <v>0</v>
      </c>
      <c r="F6">
        <f>[13]Gasification_Technologies!H3</f>
        <v/>
      </c>
      <c r="G6">
        <f>[13]Gasification_Technologies!I3</f>
        <v/>
      </c>
      <c r="H6" t="n">
        <v>820.9150326797385</v>
      </c>
      <c r="I6" t="n">
        <v>0</v>
      </c>
      <c r="J6">
        <f>[13]Gasification_Technologies!M3+0.41/(1000*0.621371)*2036</f>
        <v/>
      </c>
      <c r="K6">
        <f>[13]Gasification_Technologies!N3</f>
        <v/>
      </c>
      <c r="L6">
        <f>[13]Gasification_Technologies!O3</f>
        <v/>
      </c>
      <c r="M6">
        <f>[13]Gasification_Technologies!P3</f>
        <v/>
      </c>
      <c r="N6" t="n">
        <v>0</v>
      </c>
      <c r="O6" s="2" t="n">
        <v>0</v>
      </c>
    </row>
    <row r="7">
      <c r="A7" t="inlineStr">
        <is>
          <t>Gasif. For H2 + CCS</t>
        </is>
      </c>
      <c r="B7">
        <f>7557.64705882353+'[12]CE Index Scenarios COMPLETE)'!$J$2*2036</f>
        <v/>
      </c>
      <c r="C7">
        <f>[13]Gasification_Technologies!$D$4</f>
        <v/>
      </c>
      <c r="D7">
        <f>J7</f>
        <v/>
      </c>
      <c r="E7" t="n">
        <v>0</v>
      </c>
      <c r="F7">
        <f>[13]Gasification_Technologies!H4</f>
        <v/>
      </c>
      <c r="G7">
        <f>[13]Gasification_Technologies!I4</f>
        <v/>
      </c>
      <c r="H7" t="n">
        <v>1046.40522875817</v>
      </c>
      <c r="I7" t="n">
        <v>0</v>
      </c>
      <c r="J7">
        <f>[13]Gasification_Technologies!M4+0.41/(1000*0.621371)*2036</f>
        <v/>
      </c>
      <c r="K7">
        <f>[13]Gasification_Technologies!N4</f>
        <v/>
      </c>
      <c r="L7">
        <f>[13]Gasification_Technologies!O4</f>
        <v/>
      </c>
      <c r="M7">
        <f>[13]Gasification_Technologies!P4</f>
        <v/>
      </c>
      <c r="N7" s="2" t="n">
        <v>0</v>
      </c>
      <c r="O7" s="2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J8" sqref="J8"/>
    </sheetView>
  </sheetViews>
  <sheetFormatPr baseColWidth="10" defaultRowHeight="16"/>
  <cols>
    <col width="20.6640625" customWidth="1" min="1" max="2"/>
    <col width="11.6640625" bestFit="1" customWidth="1" min="10" max="10"/>
  </cols>
  <sheetData>
    <row r="1" ht="170" customHeight="1">
      <c r="A1" s="1" t="inlineStr">
        <is>
          <t>Technology</t>
        </is>
      </c>
      <c r="B1" s="1">
        <f>'[1]Final Data (use this)'!E3</f>
        <v/>
      </c>
      <c r="C1" s="1">
        <f>'[1]Final Data (use this)'!F3</f>
        <v/>
      </c>
      <c r="D1" s="1">
        <f>'[1]Final Data (use this)'!H3</f>
        <v/>
      </c>
      <c r="E1" s="1">
        <f>'[1]Final Data (use this)'!I3</f>
        <v/>
      </c>
      <c r="F1" s="1">
        <f>'[1]Final Data (use this)'!L3</f>
        <v/>
      </c>
      <c r="G1" s="1">
        <f>'[1]Final Data (use this)'!M3</f>
        <v/>
      </c>
      <c r="H1" s="1">
        <f>'[1]Final Data (use this)'!O3</f>
        <v/>
      </c>
      <c r="I1" s="1">
        <f>'[1]Final Data (use this)'!P3</f>
        <v/>
      </c>
      <c r="J1" s="1">
        <f>'[1]Final Data (use this)'!R3</f>
        <v/>
      </c>
      <c r="K1" s="1" t="inlineStr">
        <is>
          <t>Human toxicity cancer [CTUh/ton resin]</t>
        </is>
      </c>
      <c r="L1" s="1" t="inlineStr">
        <is>
          <t>Human toxicity non-cancer [CTUh/ton resin]</t>
        </is>
      </c>
      <c r="M1" s="1" t="inlineStr">
        <is>
          <t>Ecotoxicity [CTUe/ton resin]</t>
        </is>
      </c>
      <c r="N1" s="1" t="inlineStr">
        <is>
          <t>CAPEX [USD/yr]</t>
        </is>
      </c>
      <c r="O1" s="1" t="inlineStr">
        <is>
          <t>OPEX [USD/ton]</t>
        </is>
      </c>
    </row>
    <row r="2" ht="51" customHeight="1">
      <c r="A2" s="1">
        <f>'[1]Final Data (use this)'!D7</f>
        <v/>
      </c>
      <c r="B2" s="1">
        <f>'[1]Final Data (use this)'!E7+'[12]CE Index Scenarios COMPLETE)'!$J$2*9.2</f>
        <v/>
      </c>
      <c r="C2" s="1">
        <f>'[1]Final Data (use this)'!F7</f>
        <v/>
      </c>
      <c r="D2" s="1">
        <f>J2</f>
        <v/>
      </c>
      <c r="E2" s="1">
        <f>'[1]Final Data (use this)'!I7</f>
        <v/>
      </c>
      <c r="F2" s="1">
        <f>'[1]Final Data (use this)'!J7</f>
        <v/>
      </c>
      <c r="G2" s="1">
        <f>'[1]Final Data (use this)'!K7</f>
        <v/>
      </c>
      <c r="H2" t="n">
        <v>0</v>
      </c>
      <c r="I2" s="1" t="n">
        <v>1</v>
      </c>
      <c r="J2" s="1">
        <f>0.0816+0.328/(1000*0.621371)*9.2</f>
        <v/>
      </c>
      <c r="K2" s="14">
        <f>0.00000000612*1000</f>
        <v/>
      </c>
      <c r="L2" s="14">
        <f>0.000000808*1000</f>
        <v/>
      </c>
      <c r="M2" s="1">
        <f>45*1000</f>
        <v/>
      </c>
      <c r="N2" s="2" t="n">
        <v>0</v>
      </c>
      <c r="O2" s="2" t="n">
        <v>7.83599</v>
      </c>
    </row>
    <row r="3" ht="17" customHeight="1">
      <c r="A3" s="1">
        <f>'[1]Final Data (use this)'!D8</f>
        <v/>
      </c>
      <c r="B3" s="1">
        <f>'[1]Final Data (use this)'!E8+'[12]CE Index Scenarios COMPLETE)'!$J$2*151</f>
        <v/>
      </c>
      <c r="C3" s="1">
        <f>252*0.12</f>
        <v/>
      </c>
      <c r="D3" s="1">
        <f>J3</f>
        <v/>
      </c>
      <c r="E3" s="1">
        <f>'[1]Final Data (use this)'!I8</f>
        <v/>
      </c>
      <c r="F3" s="1" t="n">
        <v>1.81</v>
      </c>
      <c r="G3" s="1" t="n">
        <v>1.81</v>
      </c>
      <c r="H3" t="n">
        <v>0.1</v>
      </c>
      <c r="I3" s="1">
        <f>'[1]Final Data (use this)'!M8</f>
        <v/>
      </c>
      <c r="J3">
        <f>2.38+0.328/(1000*0.621371)*151</f>
        <v/>
      </c>
      <c r="K3">
        <f>0.0000000794*1000</f>
        <v/>
      </c>
      <c r="L3">
        <f>0.000000367*1000</f>
        <v/>
      </c>
      <c r="M3">
        <f>44.7*1000</f>
        <v/>
      </c>
      <c r="N3" s="2" t="n">
        <v>0</v>
      </c>
      <c r="O3" s="2" t="n">
        <v>0</v>
      </c>
    </row>
    <row r="4" ht="17" customHeight="1">
      <c r="A4" s="1">
        <f>'[1]Final Data (use this)'!D9</f>
        <v/>
      </c>
      <c r="B4" s="69">
        <f>'[1]Final Data (use this)'!E9+'[12]CE Index Scenarios COMPLETE)'!$J$2*76.1</f>
        <v/>
      </c>
      <c r="C4" s="3">
        <f>'[1]Final Data (use this)'!F9+C5</f>
        <v/>
      </c>
      <c r="D4" s="1">
        <f>J4</f>
        <v/>
      </c>
      <c r="E4" s="1">
        <f>'[1]Final Data (use this)'!I9</f>
        <v/>
      </c>
      <c r="F4" s="3">
        <f>'[1]Final Data (use this)'!J9+F5</f>
        <v/>
      </c>
      <c r="G4" s="3">
        <f>'[1]Final Data (use this)'!K9+G5</f>
        <v/>
      </c>
      <c r="H4" t="n">
        <v>250</v>
      </c>
      <c r="I4" s="3">
        <f>'[1]Final Data (use this)'!M9+I5</f>
        <v/>
      </c>
      <c r="J4" s="1">
        <f>'[1]Final Data (use this)'!N9+0.41/(1000*0.621371)*76.1</f>
        <v/>
      </c>
      <c r="K4" s="1">
        <f>'[1]Final Data (use this)'!O9</f>
        <v/>
      </c>
      <c r="L4" s="1">
        <f>'[1]Final Data (use this)'!P9</f>
        <v/>
      </c>
      <c r="M4" s="1">
        <f>'[1]Final Data (use this)'!Q9</f>
        <v/>
      </c>
      <c r="N4" s="2">
        <f>'[1]Final Data (use this)'!T9</f>
        <v/>
      </c>
      <c r="O4" s="2" t="n">
        <v>153.4067</v>
      </c>
    </row>
    <row r="5">
      <c r="A5" t="inlineStr">
        <is>
          <t>Gasif. For Energy Recovery</t>
        </is>
      </c>
      <c r="B5">
        <f>4976.445044+'[12]CE Index Scenarios COMPLETE)'!$J$2*0</f>
        <v/>
      </c>
      <c r="C5">
        <f>[13]Gasification_Technologies!$D$2</f>
        <v/>
      </c>
      <c r="D5">
        <f>J5</f>
        <v/>
      </c>
      <c r="E5" t="n">
        <v>0</v>
      </c>
      <c r="F5">
        <f>[13]Gasification_Technologies!H2</f>
        <v/>
      </c>
      <c r="G5">
        <f>[13]Gasification_Technologies!I2</f>
        <v/>
      </c>
      <c r="H5" t="n">
        <v>387.663</v>
      </c>
      <c r="I5" t="n">
        <v>0</v>
      </c>
      <c r="J5">
        <f>[13]Gasification_Technologies!M2+0.328/(1000*0.621371)*0</f>
        <v/>
      </c>
      <c r="K5">
        <f>[13]Gasification_Technologies!N2</f>
        <v/>
      </c>
      <c r="L5">
        <f>[13]Gasification_Technologies!O2</f>
        <v/>
      </c>
      <c r="M5">
        <f>[13]Gasification_Technologies!P2</f>
        <v/>
      </c>
      <c r="N5">
        <f>[13]Gasification_Technologies!$T$2*1000000</f>
        <v/>
      </c>
      <c r="O5">
        <f>[13]Gasification_Technologies!$X$2</f>
        <v/>
      </c>
    </row>
    <row r="6">
      <c r="A6" t="inlineStr">
        <is>
          <t>Gasif. For H2</t>
        </is>
      </c>
      <c r="B6">
        <f>6182.35294117647+'[12]CE Index Scenarios COMPLETE)'!$J$2*76.1</f>
        <v/>
      </c>
      <c r="C6">
        <f>[13]Gasification_Technologies!$D$3</f>
        <v/>
      </c>
      <c r="D6">
        <f>J6</f>
        <v/>
      </c>
      <c r="E6" t="n">
        <v>0</v>
      </c>
      <c r="F6">
        <f>[13]Gasification_Technologies!H3</f>
        <v/>
      </c>
      <c r="G6">
        <f>[13]Gasification_Technologies!I3</f>
        <v/>
      </c>
      <c r="H6" t="n">
        <v>820.9150326797385</v>
      </c>
      <c r="I6" t="n">
        <v>0</v>
      </c>
      <c r="J6">
        <f>[13]Gasification_Technologies!M3+0.41/(1000*0.621371)*76.1</f>
        <v/>
      </c>
      <c r="K6">
        <f>[13]Gasification_Technologies!N3</f>
        <v/>
      </c>
      <c r="L6">
        <f>[13]Gasification_Technologies!O3</f>
        <v/>
      </c>
      <c r="M6">
        <f>[13]Gasification_Technologies!P3</f>
        <v/>
      </c>
      <c r="N6" t="n">
        <v>0</v>
      </c>
      <c r="O6" s="2" t="n">
        <v>0</v>
      </c>
    </row>
    <row r="7">
      <c r="A7" t="inlineStr">
        <is>
          <t>Gasif. For H2 + CCS</t>
        </is>
      </c>
      <c r="B7">
        <f>7557.64705882353+'[12]CE Index Scenarios COMPLETE)'!$J$2*76.1</f>
        <v/>
      </c>
      <c r="C7">
        <f>[13]Gasification_Technologies!$D$4</f>
        <v/>
      </c>
      <c r="D7">
        <f>J7</f>
        <v/>
      </c>
      <c r="E7" t="n">
        <v>0</v>
      </c>
      <c r="F7">
        <f>[13]Gasification_Technologies!H4</f>
        <v/>
      </c>
      <c r="G7">
        <f>[13]Gasification_Technologies!I4</f>
        <v/>
      </c>
      <c r="H7" t="n">
        <v>1046.40522875817</v>
      </c>
      <c r="I7" t="n">
        <v>0</v>
      </c>
      <c r="J7">
        <f>[13]Gasification_Technologies!M4+0.41/(1000*0.621371)*76.1</f>
        <v/>
      </c>
      <c r="K7">
        <f>[13]Gasification_Technologies!N4</f>
        <v/>
      </c>
      <c r="L7">
        <f>[13]Gasification_Technologies!O4</f>
        <v/>
      </c>
      <c r="M7">
        <f>[13]Gasification_Technologies!P4</f>
        <v/>
      </c>
      <c r="N7" s="2" t="n">
        <v>0</v>
      </c>
      <c r="O7" s="2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B4" sqref="B4"/>
    </sheetView>
  </sheetViews>
  <sheetFormatPr baseColWidth="10" defaultRowHeight="16"/>
  <cols>
    <col width="20.6640625" customWidth="1" min="1" max="2"/>
  </cols>
  <sheetData>
    <row r="1" ht="170" customHeight="1">
      <c r="A1" s="1" t="inlineStr">
        <is>
          <t>Technology</t>
        </is>
      </c>
      <c r="B1" s="1">
        <f>'[1]Final Data (use this)'!E3</f>
        <v/>
      </c>
      <c r="C1" s="1">
        <f>'[1]Final Data (use this)'!F3</f>
        <v/>
      </c>
      <c r="D1" s="1">
        <f>'[1]Final Data (use this)'!H3</f>
        <v/>
      </c>
      <c r="E1" s="1">
        <f>'[1]Final Data (use this)'!I3</f>
        <v/>
      </c>
      <c r="F1" s="1">
        <f>'[1]Final Data (use this)'!L3</f>
        <v/>
      </c>
      <c r="G1" s="1">
        <f>'[1]Final Data (use this)'!M3</f>
        <v/>
      </c>
      <c r="H1" s="1">
        <f>'[1]Final Data (use this)'!O3</f>
        <v/>
      </c>
      <c r="I1" s="1">
        <f>'[1]Final Data (use this)'!P3</f>
        <v/>
      </c>
      <c r="J1" s="1">
        <f>'[1]Final Data (use this)'!R3</f>
        <v/>
      </c>
      <c r="K1" s="1" t="inlineStr">
        <is>
          <t>Human toxicity cancer [CTUh/ton resin]</t>
        </is>
      </c>
      <c r="L1" s="1" t="inlineStr">
        <is>
          <t>Human toxicity non-cancer [CTUh/ton resin]</t>
        </is>
      </c>
      <c r="M1" s="1" t="inlineStr">
        <is>
          <t>Ecotoxicity [CTUe/ton resin]</t>
        </is>
      </c>
      <c r="N1" s="1" t="inlineStr">
        <is>
          <t>CAPEX [USD/yr]</t>
        </is>
      </c>
      <c r="O1" s="1" t="inlineStr">
        <is>
          <t>OPEX [USD/ton]</t>
        </is>
      </c>
    </row>
    <row r="2" ht="17" customHeight="1">
      <c r="A2" s="1">
        <f>'[1]Final Data (use this)'!D7</f>
        <v/>
      </c>
      <c r="B2" s="1">
        <f>'[1]Final Data (use this)'!E7</f>
        <v/>
      </c>
      <c r="C2" s="1">
        <f>'[1]Final Data (use this)'!F7</f>
        <v/>
      </c>
      <c r="D2" s="1">
        <f>J2</f>
        <v/>
      </c>
      <c r="E2" s="1">
        <f>'[1]Final Data (use this)'!I7</f>
        <v/>
      </c>
      <c r="F2" s="1">
        <f>'[1]Final Data (use this)'!J7</f>
        <v/>
      </c>
      <c r="G2" s="1">
        <f>'[1]Final Data (use this)'!K7</f>
        <v/>
      </c>
      <c r="H2" t="n">
        <v>0</v>
      </c>
      <c r="I2" s="1" t="n">
        <v>1</v>
      </c>
      <c r="J2" s="1" t="n">
        <v>0.08160000000000001</v>
      </c>
      <c r="K2" s="14">
        <f>0.00000000612*1000</f>
        <v/>
      </c>
      <c r="L2" s="14">
        <f>0.000000808*1000</f>
        <v/>
      </c>
      <c r="M2" s="1">
        <f>45*1000</f>
        <v/>
      </c>
      <c r="N2" s="2" t="n">
        <v>0</v>
      </c>
      <c r="O2" s="2" t="n">
        <v>7.83599</v>
      </c>
    </row>
    <row r="3" ht="17" customHeight="1">
      <c r="A3" s="1">
        <f>'[1]Final Data (use this)'!D8</f>
        <v/>
      </c>
      <c r="B3" s="1">
        <f>'[1]Final Data (use this)'!E8</f>
        <v/>
      </c>
      <c r="C3" s="1">
        <f>252*0.12</f>
        <v/>
      </c>
      <c r="D3" s="1">
        <f>J3</f>
        <v/>
      </c>
      <c r="E3" s="1">
        <f>'[1]Final Data (use this)'!I8</f>
        <v/>
      </c>
      <c r="F3" s="1" t="n">
        <v>1.81</v>
      </c>
      <c r="G3" s="1" t="n">
        <v>1.81</v>
      </c>
      <c r="H3" t="n">
        <v>0.1</v>
      </c>
      <c r="I3" s="1">
        <f>'[1]Final Data (use this)'!M8</f>
        <v/>
      </c>
      <c r="J3" t="n">
        <v>2.38</v>
      </c>
      <c r="K3">
        <f>0.0000000794*1000</f>
        <v/>
      </c>
      <c r="L3">
        <f>0.000000367*1000</f>
        <v/>
      </c>
      <c r="M3">
        <f>44.7*1000</f>
        <v/>
      </c>
      <c r="N3" s="2" t="n">
        <v>0</v>
      </c>
      <c r="O3" s="2" t="n">
        <v>0</v>
      </c>
    </row>
    <row r="4" ht="17" customHeight="1">
      <c r="A4" s="1">
        <f>'[1]Final Data (use this)'!D9</f>
        <v/>
      </c>
      <c r="B4" s="3">
        <f>'[1]Final Data (use this)'!E9+B5</f>
        <v/>
      </c>
      <c r="C4" s="3">
        <f>'[1]Final Data (use this)'!F9+C5</f>
        <v/>
      </c>
      <c r="D4" s="1">
        <f>J4</f>
        <v/>
      </c>
      <c r="E4" s="1">
        <f>'[1]Final Data (use this)'!I9</f>
        <v/>
      </c>
      <c r="F4" s="3">
        <f>'[1]Final Data (use this)'!J9+F5</f>
        <v/>
      </c>
      <c r="G4" s="3">
        <f>'[1]Final Data (use this)'!K9+G5</f>
        <v/>
      </c>
      <c r="H4" t="n">
        <v>250</v>
      </c>
      <c r="I4" s="3">
        <f>'[1]Final Data (use this)'!M9+I5</f>
        <v/>
      </c>
      <c r="J4" s="1">
        <f>'[1]Final Data (use this)'!N9</f>
        <v/>
      </c>
      <c r="K4" s="1">
        <f>'[1]Final Data (use this)'!O9</f>
        <v/>
      </c>
      <c r="L4" s="1">
        <f>'[1]Final Data (use this)'!P9</f>
        <v/>
      </c>
      <c r="M4" s="1">
        <f>'[1]Final Data (use this)'!Q9</f>
        <v/>
      </c>
      <c r="N4" s="2">
        <f>'[1]Final Data (use this)'!T9</f>
        <v/>
      </c>
      <c r="O4" s="2" t="n">
        <v>153.4067</v>
      </c>
    </row>
    <row r="5">
      <c r="A5" t="inlineStr">
        <is>
          <t>Gasif. For Energy Recovery</t>
        </is>
      </c>
      <c r="B5" t="n">
        <v>4976.445044</v>
      </c>
      <c r="C5">
        <f>[13]Gasification_Technologies!$D$2</f>
        <v/>
      </c>
      <c r="D5">
        <f>J5</f>
        <v/>
      </c>
      <c r="E5" t="n">
        <v>0</v>
      </c>
      <c r="F5">
        <f>[13]Gasification_Technologies!H2</f>
        <v/>
      </c>
      <c r="G5">
        <f>[13]Gasification_Technologies!I2</f>
        <v/>
      </c>
      <c r="H5" t="n">
        <v>387.663</v>
      </c>
      <c r="I5" t="n">
        <v>0</v>
      </c>
      <c r="J5">
        <f>[13]Gasification_Technologies!M2</f>
        <v/>
      </c>
      <c r="K5">
        <f>[13]Gasification_Technologies!N2</f>
        <v/>
      </c>
      <c r="L5">
        <f>[13]Gasification_Technologies!O2</f>
        <v/>
      </c>
      <c r="M5">
        <f>[13]Gasification_Technologies!P2</f>
        <v/>
      </c>
      <c r="N5">
        <f>[13]Gasification_Technologies!$T$2*1000000</f>
        <v/>
      </c>
      <c r="O5">
        <f>[13]Gasification_Technologies!$X$2</f>
        <v/>
      </c>
    </row>
    <row r="6">
      <c r="A6" t="inlineStr">
        <is>
          <t>Gasif. For H2</t>
        </is>
      </c>
      <c r="B6" t="n">
        <v>6182.35294117647</v>
      </c>
      <c r="C6">
        <f>[13]Gasification_Technologies!$D$3</f>
        <v/>
      </c>
      <c r="D6">
        <f>J6</f>
        <v/>
      </c>
      <c r="E6" t="n">
        <v>0</v>
      </c>
      <c r="F6">
        <f>[13]Gasification_Technologies!H3</f>
        <v/>
      </c>
      <c r="G6">
        <f>[13]Gasification_Technologies!I3</f>
        <v/>
      </c>
      <c r="H6" t="n">
        <v>820.9150326797385</v>
      </c>
      <c r="I6" t="n">
        <v>0</v>
      </c>
      <c r="J6">
        <f>[13]Gasification_Technologies!M3</f>
        <v/>
      </c>
      <c r="K6">
        <f>[13]Gasification_Technologies!N3</f>
        <v/>
      </c>
      <c r="L6">
        <f>[13]Gasification_Technologies!O3</f>
        <v/>
      </c>
      <c r="M6">
        <f>[13]Gasification_Technologies!P3</f>
        <v/>
      </c>
      <c r="N6" t="n">
        <v>0</v>
      </c>
      <c r="O6" s="2" t="n">
        <v>0</v>
      </c>
    </row>
    <row r="7">
      <c r="A7" t="inlineStr">
        <is>
          <t>Gasif. For H2 + CCS</t>
        </is>
      </c>
      <c r="B7" t="n">
        <v>7557.64705882353</v>
      </c>
      <c r="C7">
        <f>[13]Gasification_Technologies!$D$4</f>
        <v/>
      </c>
      <c r="D7">
        <f>J7</f>
        <v/>
      </c>
      <c r="E7" t="n">
        <v>0</v>
      </c>
      <c r="F7">
        <f>[13]Gasification_Technologies!H4</f>
        <v/>
      </c>
      <c r="G7">
        <f>[13]Gasification_Technologies!I4</f>
        <v/>
      </c>
      <c r="H7" t="n">
        <v>1046.40522875817</v>
      </c>
      <c r="I7" t="n">
        <v>0</v>
      </c>
      <c r="J7">
        <f>[13]Gasification_Technologies!M4</f>
        <v/>
      </c>
      <c r="K7">
        <f>[13]Gasification_Technologies!N4</f>
        <v/>
      </c>
      <c r="L7">
        <f>[13]Gasification_Technologies!O4</f>
        <v/>
      </c>
      <c r="M7">
        <f>[13]Gasification_Technologies!P4</f>
        <v/>
      </c>
      <c r="N7" s="2" t="n">
        <v>0</v>
      </c>
      <c r="O7" s="2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139"/>
  <sheetViews>
    <sheetView topLeftCell="N29" zoomScale="67" workbookViewId="0">
      <selection activeCell="B4" sqref="B4"/>
    </sheetView>
  </sheetViews>
  <sheetFormatPr baseColWidth="10" defaultRowHeight="16"/>
  <cols>
    <col width="19.5" customWidth="1" min="1" max="1"/>
    <col width="17.6640625" customWidth="1" min="2" max="2"/>
    <col width="19.1640625" customWidth="1" min="3" max="3"/>
    <col width="23.6640625" customWidth="1" min="4" max="4"/>
    <col width="18.83203125" customWidth="1" min="5" max="5"/>
    <col width="36.33203125" customWidth="1" min="7" max="7"/>
    <col width="10.83203125" customWidth="1" style="44" min="8" max="8"/>
    <col width="19.1640625" customWidth="1" min="9" max="9"/>
    <col width="13.83203125" customWidth="1" min="10" max="10"/>
    <col width="15.1640625" customWidth="1" min="11" max="11"/>
    <col width="20" customWidth="1" min="12" max="13"/>
    <col width="16.6640625" customWidth="1" style="44" min="14" max="14"/>
    <col width="17" customWidth="1" min="15" max="15"/>
    <col width="13" bestFit="1" customWidth="1" min="16" max="16"/>
    <col width="17.83203125" customWidth="1" min="17" max="17"/>
    <col width="13.6640625" customWidth="1" min="18" max="18"/>
    <col width="21.1640625" customWidth="1" min="19" max="20"/>
    <col width="18.83203125" customWidth="1" min="21" max="21"/>
    <col width="19.6640625" customWidth="1" min="22" max="22"/>
    <col width="17.1640625" customWidth="1" min="23" max="23"/>
    <col width="14" customWidth="1" min="24" max="24"/>
    <col width="22.5" bestFit="1" customWidth="1" min="25" max="25"/>
    <col width="15" customWidth="1" min="26" max="26"/>
    <col width="11.1640625" bestFit="1" customWidth="1" min="28" max="28"/>
    <col width="19.33203125" bestFit="1" customWidth="1" min="30" max="30"/>
    <col width="14.5" bestFit="1" customWidth="1" min="33" max="33"/>
    <col width="19.1640625" bestFit="1" customWidth="1" min="34" max="34"/>
    <col width="11" bestFit="1" customWidth="1" min="35" max="35"/>
  </cols>
  <sheetData>
    <row r="1">
      <c r="B1" s="26" t="n">
        <v>45958</v>
      </c>
      <c r="V1" s="25" t="inlineStr">
        <is>
          <t>case 1</t>
        </is>
      </c>
      <c r="W1" s="25" t="n"/>
      <c r="X1" s="25" t="n"/>
      <c r="Y1" s="25" t="n"/>
      <c r="AF1" s="25" t="inlineStr">
        <is>
          <t>case 1</t>
        </is>
      </c>
      <c r="AG1" s="25" t="n"/>
      <c r="AH1" s="25" t="n"/>
      <c r="AI1" s="25" t="n"/>
    </row>
    <row r="2">
      <c r="B2" t="inlineStr">
        <is>
          <t>CASE 1</t>
        </is>
      </c>
      <c r="I2" t="inlineStr">
        <is>
          <t>CASE 2</t>
        </is>
      </c>
      <c r="J2" s="41" t="inlineStr">
        <is>
          <t>values for CE changed</t>
        </is>
      </c>
      <c r="O2" t="inlineStr">
        <is>
          <t>CASE 3</t>
        </is>
      </c>
      <c r="P2" s="41" t="n"/>
    </row>
    <row r="3">
      <c r="B3" s="19" t="inlineStr">
        <is>
          <t>Max Profit</t>
        </is>
      </c>
      <c r="C3" s="19" t="inlineStr">
        <is>
          <t>Min Emissions</t>
        </is>
      </c>
      <c r="D3" s="19" t="inlineStr">
        <is>
          <t>Max CE</t>
        </is>
      </c>
      <c r="I3" s="19" t="inlineStr">
        <is>
          <t>Max Profit</t>
        </is>
      </c>
      <c r="J3" s="42" t="inlineStr">
        <is>
          <t>Min Emissions</t>
        </is>
      </c>
      <c r="K3" s="19" t="inlineStr">
        <is>
          <t>Max CE (w Emissions and Profit)</t>
        </is>
      </c>
      <c r="L3" s="30" t="n"/>
      <c r="M3" s="30" t="n"/>
      <c r="O3" s="19" t="inlineStr">
        <is>
          <t>Max Profit</t>
        </is>
      </c>
      <c r="P3" s="42" t="inlineStr">
        <is>
          <t>Min Emissions</t>
        </is>
      </c>
      <c r="Q3" s="19" t="inlineStr">
        <is>
          <t>Max CE (w Emissions and Profit)</t>
        </is>
      </c>
      <c r="W3" s="19" t="inlineStr">
        <is>
          <t>Max Profit</t>
        </is>
      </c>
      <c r="X3" s="19" t="inlineStr">
        <is>
          <t>Min Emissions</t>
        </is>
      </c>
      <c r="Y3" s="19" t="inlineStr">
        <is>
          <t>Min CE</t>
        </is>
      </c>
      <c r="AG3" s="19" t="inlineStr">
        <is>
          <t>Max Profit</t>
        </is>
      </c>
      <c r="AH3" s="19" t="inlineStr">
        <is>
          <t>Min Emissions</t>
        </is>
      </c>
      <c r="AI3" s="19" t="inlineStr">
        <is>
          <t>Max CE</t>
        </is>
      </c>
    </row>
    <row r="4" ht="19" customHeight="1">
      <c r="A4" s="20" t="inlineStr">
        <is>
          <t>Profit</t>
        </is>
      </c>
      <c r="B4" s="15" t="n">
        <v>7453663.39101</v>
      </c>
      <c r="C4" s="13" t="n">
        <v>-62687.92</v>
      </c>
      <c r="D4" s="15" t="n">
        <v>7162118.4235</v>
      </c>
      <c r="E4" s="32" t="inlineStr">
        <is>
          <t>New values with 1.5* mean for UB</t>
        </is>
      </c>
      <c r="H4" s="20" t="inlineStr">
        <is>
          <t>Profit</t>
        </is>
      </c>
      <c r="I4" s="15" t="n">
        <v>8455106.7755</v>
      </c>
      <c r="J4" s="13" t="n">
        <v>-62687.92</v>
      </c>
      <c r="K4" s="15" t="n"/>
      <c r="L4" s="15" t="n"/>
      <c r="M4" s="15" t="n"/>
      <c r="N4" s="20" t="inlineStr">
        <is>
          <t>Profit</t>
        </is>
      </c>
      <c r="O4" s="15" t="n">
        <v>8159580.29299999</v>
      </c>
      <c r="P4" s="40" t="n">
        <v>-62687.92</v>
      </c>
      <c r="Q4" s="15" t="n"/>
      <c r="V4" s="19" t="inlineStr">
        <is>
          <t>Profit</t>
        </is>
      </c>
      <c r="W4" s="16" t="n">
        <v>2860480</v>
      </c>
      <c r="X4" s="16" t="n">
        <v>-53190402.137053</v>
      </c>
      <c r="Y4" s="17" t="n">
        <v>971840</v>
      </c>
      <c r="AB4">
        <f>Y4/8000</f>
        <v/>
      </c>
      <c r="AF4" s="19" t="inlineStr">
        <is>
          <t>Profit</t>
        </is>
      </c>
      <c r="AG4" s="23" t="n">
        <v>971840</v>
      </c>
      <c r="AH4" s="22" t="n">
        <v>-53190402.137053</v>
      </c>
      <c r="AI4" s="17" t="n">
        <v>971840</v>
      </c>
    </row>
    <row r="5" ht="19" customHeight="1">
      <c r="A5" s="20" t="inlineStr">
        <is>
          <t>Emissions</t>
        </is>
      </c>
      <c r="B5" s="13" t="n">
        <v>14871.7674444306</v>
      </c>
      <c r="C5" s="13" t="n">
        <v>652.8</v>
      </c>
      <c r="D5" s="13" t="n">
        <v>9031.054853580319</v>
      </c>
      <c r="E5" t="inlineStr">
        <is>
          <t>obtained using: Final model with circularity-Modified scenarios-Copy1_Scenario1w_Circularity</t>
        </is>
      </c>
      <c r="H5" s="20" t="inlineStr">
        <is>
          <t>Emissions</t>
        </is>
      </c>
      <c r="I5" s="13" t="n">
        <v>11702.9767553409</v>
      </c>
      <c r="J5" s="13" t="n">
        <v>652.8</v>
      </c>
      <c r="K5" s="13" t="n"/>
      <c r="L5" s="13" t="n"/>
      <c r="M5" s="13" t="n"/>
      <c r="N5" s="20" t="inlineStr">
        <is>
          <t>Emissions</t>
        </is>
      </c>
      <c r="O5" s="13" t="n">
        <v>12913.3038470005</v>
      </c>
      <c r="P5" s="40" t="n">
        <v>652.8</v>
      </c>
      <c r="Q5" s="13" t="n"/>
      <c r="V5" s="19" t="inlineStr">
        <is>
          <t>Emissions</t>
        </is>
      </c>
      <c r="W5" s="17" t="n">
        <v>78022.0071024007</v>
      </c>
      <c r="X5" s="17" t="n">
        <v>74620.5234769439</v>
      </c>
      <c r="Y5" s="17" t="n">
        <v>87362.6606971719</v>
      </c>
      <c r="AF5" s="19" t="inlineStr">
        <is>
          <t>Emissions</t>
        </is>
      </c>
      <c r="AG5" s="13" t="n">
        <v>87362.6606971719</v>
      </c>
      <c r="AH5" s="13" t="n">
        <v>74620.5234769439</v>
      </c>
      <c r="AI5" s="17" t="n">
        <v>87362.6606971719</v>
      </c>
    </row>
    <row r="6" ht="19" customHeight="1">
      <c r="A6" s="20" t="inlineStr">
        <is>
          <t>CE</t>
        </is>
      </c>
      <c r="B6" s="13" t="n">
        <v>0.546400511706868</v>
      </c>
      <c r="C6" s="13" t="n">
        <v>0.606683018608161</v>
      </c>
      <c r="D6" s="13" t="n">
        <v>0.6748623652138031</v>
      </c>
      <c r="E6" t="inlineStr">
        <is>
          <t>I used fixed UB defined by worst of 3 cases</t>
        </is>
      </c>
      <c r="H6" s="20" t="inlineStr">
        <is>
          <t>CE</t>
        </is>
      </c>
      <c r="I6" s="13" t="n"/>
      <c r="J6" s="13" t="n"/>
      <c r="K6" s="13" t="n"/>
      <c r="L6" s="13" t="n"/>
      <c r="M6" s="13" t="n"/>
      <c r="N6" s="20" t="inlineStr">
        <is>
          <t>CE</t>
        </is>
      </c>
      <c r="O6" s="13" t="n"/>
      <c r="P6" s="13" t="n"/>
      <c r="Q6" s="13" t="n"/>
      <c r="V6" s="20" t="inlineStr">
        <is>
          <t>CE</t>
        </is>
      </c>
      <c r="W6" s="17" t="n">
        <v>0.417805273964287</v>
      </c>
      <c r="X6" s="17" t="n">
        <v>0.399750893420699</v>
      </c>
      <c r="Y6" s="17" t="n">
        <v>0.72104468275865</v>
      </c>
      <c r="AF6" s="20" t="inlineStr">
        <is>
          <t>CE</t>
        </is>
      </c>
      <c r="AG6" s="13" t="n">
        <v>0.721044682756524</v>
      </c>
      <c r="AH6" s="13" t="n">
        <v>0.399750893420699</v>
      </c>
      <c r="AI6" s="17" t="n">
        <v>0.72104468275865</v>
      </c>
    </row>
    <row r="7">
      <c r="B7" s="18" t="inlineStr">
        <is>
          <t>Strap1+2 +we</t>
        </is>
      </c>
      <c r="C7" s="18" t="inlineStr">
        <is>
          <t xml:space="preserve">landfill </t>
        </is>
      </c>
      <c r="D7" s="18" t="inlineStr">
        <is>
          <t>st1+st2+lf</t>
        </is>
      </c>
      <c r="I7" s="18" t="inlineStr">
        <is>
          <t>Strap1(evoh ethylene glycol)+Strap2(pe tetrachloroethylene) +we</t>
        </is>
      </c>
      <c r="J7" s="43" t="inlineStr">
        <is>
          <t xml:space="preserve">landfill </t>
        </is>
      </c>
      <c r="K7" s="18" t="inlineStr">
        <is>
          <t>Strap1(pe tetrachloroethylene)+Strap2(EVOH Pyridazine)+landfill</t>
        </is>
      </c>
      <c r="O7" s="18" t="inlineStr">
        <is>
          <t>Strap1(EVOH Pyridazine)+Strap2(PE Tetrachloroethylene) +Incineration</t>
        </is>
      </c>
      <c r="P7" s="43" t="inlineStr">
        <is>
          <t xml:space="preserve">landfill </t>
        </is>
      </c>
      <c r="Q7" s="18" t="n"/>
      <c r="W7" s="18" t="inlineStr">
        <is>
          <t>Stage 1: Gas_H2cc</t>
        </is>
      </c>
      <c r="X7" s="18" t="inlineStr">
        <is>
          <t>stage 3: strap1+2+gas_er</t>
        </is>
      </c>
      <c r="Y7" s="18" t="inlineStr">
        <is>
          <t>stage 1: we</t>
        </is>
      </c>
      <c r="AG7" s="18" t="inlineStr">
        <is>
          <t>Stage 1: we</t>
        </is>
      </c>
      <c r="AH7" s="18" t="inlineStr">
        <is>
          <t>stage 3: strap1+2+gas_er</t>
        </is>
      </c>
      <c r="AI7" s="18" t="inlineStr">
        <is>
          <t>stage 1: we</t>
        </is>
      </c>
    </row>
    <row r="8">
      <c r="B8" s="18" t="inlineStr">
        <is>
          <t>it could be gas_h2 but emissions too high and gas_h2cc ce too low</t>
        </is>
      </c>
      <c r="C8" s="18" t="n"/>
      <c r="D8" s="18" t="inlineStr">
        <is>
          <t>evoh pyri</t>
        </is>
      </c>
      <c r="J8" s="41" t="n"/>
      <c r="P8" s="41" t="n"/>
    </row>
    <row r="9">
      <c r="B9" s="18" t="inlineStr">
        <is>
          <t>evoh ethylene glycol</t>
        </is>
      </c>
      <c r="C9" s="18" t="n"/>
      <c r="D9" s="18" t="inlineStr">
        <is>
          <t>PE tetra</t>
        </is>
      </c>
      <c r="O9" t="inlineStr">
        <is>
          <t>evoh pyrid</t>
        </is>
      </c>
    </row>
    <row r="10">
      <c r="B10" s="18" t="inlineStr">
        <is>
          <t>pe tetrachloroethylene</t>
        </is>
      </c>
      <c r="C10" s="18" t="n"/>
      <c r="D10" s="18" t="inlineStr">
        <is>
          <t>lf</t>
        </is>
      </c>
      <c r="O10" t="inlineStr">
        <is>
          <t>PE tetra</t>
        </is>
      </c>
      <c r="V10" t="inlineStr">
        <is>
          <t>emissions/ton</t>
        </is>
      </c>
      <c r="W10">
        <f>W5/8000</f>
        <v/>
      </c>
      <c r="X10">
        <f>X5/8000</f>
        <v/>
      </c>
      <c r="Y10">
        <f>Y5/8000</f>
        <v/>
      </c>
      <c r="AB10" t="inlineStr">
        <is>
          <t>even with 100362.6607 , it starts with emission value of 81106</t>
        </is>
      </c>
      <c r="AF10" t="inlineStr">
        <is>
          <t>emissions/ton</t>
        </is>
      </c>
      <c r="AG10" t="inlineStr">
        <is>
          <t>we</t>
        </is>
      </c>
      <c r="AH10">
        <f>AH5/8000</f>
        <v/>
      </c>
      <c r="AI10">
        <f>AI5/8000</f>
        <v/>
      </c>
    </row>
    <row r="11" ht="19" customHeight="1">
      <c r="B11" t="inlineStr">
        <is>
          <t>we</t>
        </is>
      </c>
      <c r="N11" s="44" t="inlineStr">
        <is>
          <t xml:space="preserve">Human Toxicity Cancer[CTUh]: </t>
        </is>
      </c>
      <c r="O11" s="13" t="n">
        <v>0.332610781564612</v>
      </c>
      <c r="P11" s="13" t="n">
        <v>0.04896</v>
      </c>
    </row>
    <row r="12" ht="19" customHeight="1">
      <c r="A12" t="inlineStr">
        <is>
          <t xml:space="preserve">Human Toxicity Cancer[CTUh]: </t>
        </is>
      </c>
      <c r="B12" s="13" t="n">
        <v>0.356123957180783</v>
      </c>
      <c r="C12" s="13" t="n">
        <v>0.04896</v>
      </c>
      <c r="D12" s="13" t="n">
        <v>0.174717949143329</v>
      </c>
      <c r="H12" s="44" t="inlineStr">
        <is>
          <t xml:space="preserve">Human Toxicity Cancer[CTUh]: </t>
        </is>
      </c>
      <c r="I12" s="13" t="n">
        <v>0.414105626547095</v>
      </c>
      <c r="J12" s="13" t="n">
        <v>0.04896</v>
      </c>
      <c r="N12" s="44" t="inlineStr">
        <is>
          <t>Human Toxicity Non-Cancer[CTUh]:</t>
        </is>
      </c>
      <c r="O12" s="13" t="n">
        <v>7.28642238908965</v>
      </c>
      <c r="P12" s="13" t="n">
        <v>6.464</v>
      </c>
      <c r="AD12">
        <f>81106/8000</f>
        <v/>
      </c>
    </row>
    <row r="13" ht="19" customHeight="1">
      <c r="A13" t="inlineStr">
        <is>
          <t>Human Toxicity Non-Cancer[CTUh]:</t>
        </is>
      </c>
      <c r="B13" s="13" t="n">
        <v>1.05870017042083</v>
      </c>
      <c r="C13" s="13" t="n">
        <v>6.464</v>
      </c>
      <c r="D13" s="13" t="n">
        <v>2.12245474514464</v>
      </c>
      <c r="H13" s="44" t="inlineStr">
        <is>
          <t>Human Toxicity Non-Cancer[CTUh]:</t>
        </is>
      </c>
      <c r="I13" s="13" t="n">
        <v>6.55265179848508</v>
      </c>
      <c r="J13" s="13" t="n">
        <v>6.464</v>
      </c>
      <c r="N13" s="44" t="inlineStr">
        <is>
          <t>Ecotoxicity[CTUe]:</t>
        </is>
      </c>
      <c r="O13" s="15" t="n">
        <v>245841092.660264</v>
      </c>
      <c r="P13" s="15" t="n">
        <v>360000000</v>
      </c>
      <c r="V13" s="25" t="inlineStr">
        <is>
          <t>case 2</t>
        </is>
      </c>
      <c r="W13" s="25" t="n"/>
      <c r="X13" s="25" t="n"/>
      <c r="Y13" s="25" t="n"/>
      <c r="AD13" s="22" t="n">
        <v>-15092562.21</v>
      </c>
    </row>
    <row r="14" ht="19" customHeight="1">
      <c r="A14" t="inlineStr">
        <is>
          <t>Ecotoxicity[CTUe]:</t>
        </is>
      </c>
      <c r="B14" s="15" t="n">
        <v>115848448.268289</v>
      </c>
      <c r="C14" s="15" t="n">
        <v>360000000</v>
      </c>
      <c r="D14" s="15" t="n">
        <v>117083958.528147</v>
      </c>
      <c r="H14" s="44" t="inlineStr">
        <is>
          <t xml:space="preserve">Ecotoxicity[CTUe]: </t>
        </is>
      </c>
      <c r="I14" s="15" t="n">
        <v>230136423.299172</v>
      </c>
      <c r="J14" s="15" t="n">
        <v>360000000</v>
      </c>
      <c r="AD14">
        <f>AD13/8000</f>
        <v/>
      </c>
    </row>
    <row r="15">
      <c r="W15" s="19" t="inlineStr">
        <is>
          <t>Max Profit</t>
        </is>
      </c>
      <c r="X15" s="19" t="inlineStr">
        <is>
          <t>Min Emissions</t>
        </is>
      </c>
      <c r="Y15" s="19" t="inlineStr">
        <is>
          <t>Min CE</t>
        </is>
      </c>
      <c r="AD15" t="inlineStr">
        <is>
          <t>strap 1+gash2cc</t>
        </is>
      </c>
    </row>
    <row r="16" ht="19" customHeight="1">
      <c r="A16" t="inlineStr">
        <is>
          <t>if gas_h2</t>
        </is>
      </c>
      <c r="B16" s="13" t="n">
        <v>18963.6890130581</v>
      </c>
      <c r="I16" s="13" t="n">
        <v>0.414105626547095</v>
      </c>
      <c r="V16" s="19" t="inlineStr">
        <is>
          <t>Profit</t>
        </is>
      </c>
      <c r="W16" s="16" t="n"/>
      <c r="X16" s="16" t="n"/>
      <c r="Y16" s="17" t="n"/>
    </row>
    <row r="17" ht="19" customHeight="1">
      <c r="B17" s="13" t="n">
        <v>0.332038474617303</v>
      </c>
      <c r="I17" s="13" t="n">
        <v>6.55265179848508</v>
      </c>
      <c r="K17" s="13" t="n">
        <v>0.172730416819077</v>
      </c>
      <c r="V17" s="19" t="inlineStr">
        <is>
          <t>Emissions</t>
        </is>
      </c>
      <c r="W17" s="17" t="n"/>
      <c r="X17" s="17" t="n"/>
      <c r="Y17" s="17" t="n"/>
    </row>
    <row r="18" ht="19" customHeight="1">
      <c r="I18" s="15" t="n">
        <v>230136423.299172</v>
      </c>
      <c r="K18" s="13" t="n">
        <v>7.99718800651218</v>
      </c>
      <c r="V18" s="20" t="inlineStr">
        <is>
          <t>CE</t>
        </is>
      </c>
      <c r="W18" s="17" t="n"/>
      <c r="X18" s="17" t="n"/>
      <c r="Y18" s="17" t="n"/>
    </row>
    <row r="19" ht="19" customHeight="1">
      <c r="A19" t="inlineStr">
        <is>
          <t>if gas_h2cc</t>
        </is>
      </c>
      <c r="B19" s="13" t="n">
        <v>12069.5713659993</v>
      </c>
      <c r="K19" s="15" t="n">
        <v>238824981.201087</v>
      </c>
      <c r="W19" s="18" t="n"/>
      <c r="X19" s="18" t="n"/>
      <c r="Y19" s="18" t="n"/>
    </row>
    <row r="20" ht="19" customHeight="1">
      <c r="B20" s="13" t="n">
        <v>0.393503155301969</v>
      </c>
      <c r="I20" t="inlineStr">
        <is>
          <t>Pareto: emissions vs cost</t>
        </is>
      </c>
      <c r="O20" t="inlineStr">
        <is>
          <t>Pareto: emissions vs cost</t>
        </is>
      </c>
    </row>
    <row r="22">
      <c r="A22" t="inlineStr">
        <is>
          <t>cost</t>
        </is>
      </c>
      <c r="B22" t="inlineStr">
        <is>
          <t>emissions</t>
        </is>
      </c>
      <c r="C22" t="inlineStr">
        <is>
          <t>Point</t>
        </is>
      </c>
      <c r="D22" t="inlineStr">
        <is>
          <t>Solution</t>
        </is>
      </c>
      <c r="I22" t="inlineStr">
        <is>
          <t>Cost</t>
        </is>
      </c>
      <c r="J22" t="inlineStr">
        <is>
          <t>Emissions</t>
        </is>
      </c>
      <c r="K22" t="inlineStr">
        <is>
          <t>Solutions</t>
        </is>
      </c>
      <c r="L22" t="inlineStr">
        <is>
          <t>Calculated circularity</t>
        </is>
      </c>
      <c r="O22" t="inlineStr">
        <is>
          <t>Cost</t>
        </is>
      </c>
      <c r="P22" t="inlineStr">
        <is>
          <t>Emissions</t>
        </is>
      </c>
      <c r="Q22" t="inlineStr">
        <is>
          <t>Solutions</t>
        </is>
      </c>
      <c r="R22" t="inlineStr">
        <is>
          <t>Calculated circularity</t>
        </is>
      </c>
      <c r="V22" s="25" t="inlineStr">
        <is>
          <t>case 3</t>
        </is>
      </c>
      <c r="W22" s="25" t="n"/>
      <c r="X22" s="25" t="n"/>
      <c r="Y22" s="25" t="n"/>
    </row>
    <row r="23" ht="52" customHeight="1">
      <c r="A23" s="15" t="n">
        <v>7453663.39099999</v>
      </c>
      <c r="B23" s="35" t="n">
        <v>12069.5713659992</v>
      </c>
      <c r="C23" t="inlineStr">
        <is>
          <t>A</t>
        </is>
      </c>
      <c r="D23" t="inlineStr">
        <is>
          <t>Landfill</t>
        </is>
      </c>
      <c r="E23" s="13" t="n"/>
      <c r="I23" s="15" t="n">
        <v>8482658.7755</v>
      </c>
      <c r="J23" s="13" t="n">
        <v>11702.9767553408</v>
      </c>
      <c r="K23" s="1" t="inlineStr">
        <is>
          <t>st1 (evoh, ethyle gly)+st2 (Pe tetra) +we</t>
        </is>
      </c>
      <c r="L23" s="13" t="n">
        <v>0.690408106118075</v>
      </c>
      <c r="O23" s="15" t="n">
        <v>8187132.29299999</v>
      </c>
      <c r="P23" s="13" t="n">
        <v>12913.3038470005</v>
      </c>
      <c r="Q23" s="45" t="inlineStr">
        <is>
          <t>st1(evoh pyri)+st2(pe tetra)+we</t>
        </is>
      </c>
      <c r="R23" s="13" t="n">
        <v>0.695568815275271</v>
      </c>
      <c r="AD23" t="inlineStr">
        <is>
          <t>if the price for post-consumer ldpe film is around $0.109/lb, do you think is a good assumption for us to say the mixed waste is $0.05 (this is said to be price for grade b film) ?</t>
        </is>
      </c>
    </row>
    <row r="24" ht="52" customHeight="1">
      <c r="A24" s="15" t="n">
        <v>7444924.7995</v>
      </c>
      <c r="B24" s="35" t="n">
        <v>11745.018775149</v>
      </c>
      <c r="C24" t="inlineStr">
        <is>
          <t>B</t>
        </is>
      </c>
      <c r="D24" t="inlineStr">
        <is>
          <t>Strap1(EVOH Pyridazine)+landfill</t>
        </is>
      </c>
      <c r="E24" s="13" t="n"/>
      <c r="I24" s="15" t="n">
        <v>8455106.7755</v>
      </c>
      <c r="J24" s="13" t="n">
        <v>8900.78067690952</v>
      </c>
      <c r="K24" s="1">
        <f>K25</f>
        <v/>
      </c>
      <c r="L24" s="13" t="n">
        <v>0.530422981624517</v>
      </c>
      <c r="O24" s="15" t="n">
        <v>8159580.29299999</v>
      </c>
      <c r="P24" s="13" t="n">
        <v>10111.1077685692</v>
      </c>
      <c r="W24" s="19" t="inlineStr">
        <is>
          <t>Max Profit</t>
        </is>
      </c>
      <c r="X24" s="19" t="inlineStr">
        <is>
          <t>Min Emissions</t>
        </is>
      </c>
      <c r="Y24" s="19" t="inlineStr">
        <is>
          <t>Min CE</t>
        </is>
      </c>
    </row>
    <row r="25" ht="52" customHeight="1">
      <c r="A25" s="15" t="n">
        <v>7170857.015</v>
      </c>
      <c r="B25" s="35" t="n">
        <v>9355.60744443066</v>
      </c>
      <c r="C25" t="inlineStr">
        <is>
          <t>C</t>
        </is>
      </c>
      <c r="D25" t="inlineStr">
        <is>
          <t>Strap1(EVOH Ethylene glycol)+landfill</t>
        </is>
      </c>
      <c r="E25" s="13" t="n"/>
      <c r="I25" s="15" t="n">
        <v>8455106.7755</v>
      </c>
      <c r="J25" s="13" t="n">
        <v>8900.78067690952</v>
      </c>
      <c r="K25" s="1" t="inlineStr">
        <is>
          <t>st1 (evoh, ethyle gly)+st2 (Pe tetra) +gas_h2cc</t>
        </is>
      </c>
      <c r="O25" s="15" t="n">
        <v>8159580.29299999</v>
      </c>
      <c r="P25" s="13" t="n">
        <v>10111.1077685692</v>
      </c>
      <c r="Q25" t="inlineStr">
        <is>
          <t>st1(evoh pyri)+st2(pe tetra)+gas_h2cc</t>
        </is>
      </c>
      <c r="R25" s="13" t="n">
        <v>0.534739133012309</v>
      </c>
      <c r="V25" s="19" t="inlineStr">
        <is>
          <t>Profit</t>
        </is>
      </c>
      <c r="W25" s="16" t="n"/>
      <c r="X25" s="16" t="n"/>
      <c r="Y25" s="17" t="n"/>
      <c r="AD25">
        <f>0.05*2.2*1000</f>
        <v/>
      </c>
      <c r="AE25" t="inlineStr">
        <is>
          <t>given 5 cents/lb</t>
        </is>
      </c>
      <c r="AF25" t="inlineStr">
        <is>
          <t>https://resource-recycling.com/plastics/2025/09/17/plastic-bale-prices-continue-to-fall/</t>
        </is>
      </c>
    </row>
    <row r="26" ht="52" customHeight="1">
      <c r="A26" s="15" t="n">
        <v>3459497.42249999</v>
      </c>
      <c r="B26" s="35" t="n">
        <v>4641.93537062226</v>
      </c>
      <c r="C26" t="inlineStr">
        <is>
          <t>D</t>
        </is>
      </c>
      <c r="D26" t="inlineStr">
        <is>
          <t>Strap1(EVOH Ethylene glycol)+Strap 2( PE Tetrachloroethylene)+landfill</t>
        </is>
      </c>
      <c r="E26" s="13" t="n"/>
      <c r="I26" s="15" t="n">
        <v>8172300.3995</v>
      </c>
      <c r="J26" s="13" t="n">
        <v>6186.81675534089</v>
      </c>
      <c r="K26" s="1">
        <f>K27</f>
        <v/>
      </c>
      <c r="L26" s="13" t="n">
        <v>0.707134729531691</v>
      </c>
      <c r="O26" s="15" t="n">
        <v>7876773.91699999</v>
      </c>
      <c r="P26" s="13" t="n">
        <v>7397.14384700058</v>
      </c>
      <c r="V26" s="19" t="inlineStr">
        <is>
          <t>Emissions</t>
        </is>
      </c>
      <c r="W26" s="17" t="n"/>
      <c r="X26" s="17" t="n"/>
      <c r="Y26" s="17" t="n"/>
    </row>
    <row r="27" ht="52" customHeight="1">
      <c r="A27" s="15" t="n">
        <v>3450758.831</v>
      </c>
      <c r="B27" s="35" t="n">
        <v>4317.38277977194</v>
      </c>
      <c r="C27" t="inlineStr">
        <is>
          <t>E</t>
        </is>
      </c>
      <c r="D27" t="inlineStr">
        <is>
          <t>Strap1(EVOH Pyridazine)+Strap2(PE Tetrachloroethylene)+Gasification (Hydrogen w/Carbon Capture)</t>
        </is>
      </c>
      <c r="E27" s="13" t="n"/>
      <c r="I27" s="15" t="n">
        <v>8172300.3995</v>
      </c>
      <c r="J27" s="13" t="n">
        <v>6186.81675534089</v>
      </c>
      <c r="K27" s="1" t="inlineStr">
        <is>
          <t>st1 (evoh, ethyle gly)+st2 (Pe tetra) +lf</t>
        </is>
      </c>
      <c r="O27" s="15" t="n">
        <v>7876773.91699999</v>
      </c>
      <c r="P27" s="13" t="n">
        <v>7397.14384700059</v>
      </c>
      <c r="Q27" t="inlineStr">
        <is>
          <t>st1(evoh pyri)+st2(pe tetra)+lf</t>
        </is>
      </c>
      <c r="R27" s="13" t="n">
        <v>0.710328139763828</v>
      </c>
      <c r="V27" s="20" t="inlineStr">
        <is>
          <t>CE</t>
        </is>
      </c>
      <c r="W27" s="17" t="n"/>
      <c r="X27" s="17" t="n"/>
      <c r="Y27" s="17" t="n"/>
    </row>
    <row r="28" ht="35" customHeight="1">
      <c r="A28" s="13" t="n">
        <v>-62687.92</v>
      </c>
      <c r="B28" s="35" t="n">
        <v>652.8</v>
      </c>
      <c r="C28" t="inlineStr">
        <is>
          <t>F</t>
        </is>
      </c>
      <c r="D28" t="inlineStr">
        <is>
          <t>Strap1(EVOH Ethylene glycol)+Strap 2( PE Tetrachloroethylene)+gas_h2cc</t>
        </is>
      </c>
      <c r="E28" s="13" t="n"/>
      <c r="I28" s="15" t="n">
        <v>3847686.155</v>
      </c>
      <c r="J28" s="13" t="n">
        <v>2531.81852559195</v>
      </c>
      <c r="K28" s="1">
        <f>K29</f>
        <v/>
      </c>
      <c r="L28" s="13" t="n">
        <v>0.648368532402903</v>
      </c>
      <c r="O28" s="15" t="n">
        <v>3749373.472</v>
      </c>
      <c r="P28" s="13" t="n">
        <v>2747.17296455362</v>
      </c>
      <c r="W28" s="18" t="n"/>
      <c r="X28" s="18" t="n"/>
      <c r="Y28" s="18" t="n"/>
    </row>
    <row r="29" ht="35" customHeight="1">
      <c r="D29" s="15" t="n"/>
      <c r="E29" s="13" t="n"/>
      <c r="I29" s="15" t="n">
        <v>3847686.155</v>
      </c>
      <c r="J29" s="13" t="n">
        <v>2531.81852559195</v>
      </c>
      <c r="K29" s="1">
        <f>K30</f>
        <v/>
      </c>
      <c r="O29" s="15" t="n">
        <v>3749373.472</v>
      </c>
      <c r="P29" s="13" t="n">
        <v>2747.17296455362</v>
      </c>
    </row>
    <row r="30" ht="35" customHeight="1">
      <c r="D30" s="13" t="n"/>
      <c r="E30" s="13" t="n"/>
      <c r="I30" s="15" t="n">
        <v>3847686.155</v>
      </c>
      <c r="J30" s="13" t="n">
        <v>2531.81852559195</v>
      </c>
      <c r="K30" s="1" t="inlineStr">
        <is>
          <t>st1 (evoh, ethyle gly) +lf</t>
        </is>
      </c>
      <c r="O30" s="15" t="n">
        <v>3749373.472</v>
      </c>
      <c r="P30" s="13" t="n">
        <v>2747.17296455362</v>
      </c>
      <c r="Q30" t="inlineStr">
        <is>
          <t>st1(evoh pyri)+lf</t>
        </is>
      </c>
      <c r="R30" s="13" t="n">
        <v>0.664530990241095</v>
      </c>
    </row>
    <row r="31" ht="19" customHeight="1">
      <c r="A31" t="inlineStr">
        <is>
          <t>cost</t>
        </is>
      </c>
      <c r="B31" t="inlineStr">
        <is>
          <t>ce</t>
        </is>
      </c>
      <c r="D31" s="13" t="n"/>
      <c r="E31" s="13" t="n"/>
      <c r="I31" s="13" t="n">
        <v>-62687.92</v>
      </c>
      <c r="J31" s="13" t="n">
        <v>652.8</v>
      </c>
      <c r="K31" s="1" t="inlineStr">
        <is>
          <t>lf</t>
        </is>
      </c>
      <c r="L31" s="13" t="n">
        <v>0.606023102719542</v>
      </c>
      <c r="O31" s="13" t="n">
        <v>-62687.92</v>
      </c>
      <c r="P31" s="13" t="n">
        <v>652.8</v>
      </c>
      <c r="Q31" t="inlineStr">
        <is>
          <t>lf</t>
        </is>
      </c>
    </row>
    <row r="32" ht="19" customHeight="1">
      <c r="D32" s="13" t="n"/>
      <c r="E32" s="13" t="n"/>
      <c r="I32" s="13" t="n">
        <v>-62687.92</v>
      </c>
      <c r="J32" s="13" t="n">
        <v>652.8</v>
      </c>
      <c r="K32" s="1" t="inlineStr">
        <is>
          <t>lf</t>
        </is>
      </c>
      <c r="O32" s="13" t="n">
        <v>-62687.92</v>
      </c>
      <c r="P32" s="13" t="n">
        <v>652.8</v>
      </c>
      <c r="R32" s="13" t="n">
        <v>0.606023102719542</v>
      </c>
    </row>
    <row r="33" ht="19" customHeight="1">
      <c r="A33" s="15" t="n">
        <v>7453663.391</v>
      </c>
      <c r="B33" s="13" t="n">
        <v>0.646400511706869</v>
      </c>
      <c r="C33" t="inlineStr">
        <is>
          <t>st1(evoh ethylene glycol)+st2(Pe tetra)+we</t>
        </is>
      </c>
      <c r="E33" t="inlineStr">
        <is>
          <t>A</t>
        </is>
      </c>
      <c r="F33" t="inlineStr">
        <is>
          <t>Strap 1(EVOH Pyridazine)+Strap2(PE Tetrachloroethylene)+Landfill</t>
        </is>
      </c>
    </row>
    <row r="34" ht="19" customHeight="1">
      <c r="A34" s="15" t="n">
        <v>7444924.7995</v>
      </c>
      <c r="B34" s="13" t="n">
        <v>0.654435891273508</v>
      </c>
      <c r="C34" t="inlineStr">
        <is>
          <t>st1(evoh pyridazine)+st2(Pe tetra)+we</t>
        </is>
      </c>
      <c r="E34" t="inlineStr">
        <is>
          <t>B</t>
        </is>
      </c>
      <c r="F34" s="13" t="inlineStr">
        <is>
          <t>Strap 1(EVOH Ethylene glycol)+Strap 2(PE Tetrachloroethylene)+Landfill</t>
        </is>
      </c>
    </row>
    <row r="35" ht="19" customHeight="1">
      <c r="A35" s="15" t="n"/>
      <c r="B35" s="13" t="n"/>
      <c r="E35" t="inlineStr">
        <is>
          <t>C</t>
        </is>
      </c>
      <c r="F35" t="inlineStr">
        <is>
          <t>Strap 1(EVOH Pyridazine)+Strap 2(PE Tetrachloroethylene)+Incineration</t>
        </is>
      </c>
      <c r="U35" t="inlineStr">
        <is>
          <t>Scenario 1</t>
        </is>
      </c>
      <c r="V35" t="inlineStr">
        <is>
          <t>Scenario 2</t>
        </is>
      </c>
      <c r="W35" t="inlineStr">
        <is>
          <t>Scenario 3</t>
        </is>
      </c>
    </row>
    <row r="36" ht="19" customHeight="1">
      <c r="A36" s="15" t="n">
        <v>7170857.015</v>
      </c>
      <c r="B36" s="13" t="n">
        <v>0.66682887722937</v>
      </c>
      <c r="C36" s="13" t="inlineStr">
        <is>
          <t>st1(evoh ethylene glycol)+st2(Pe tetra)+lf</t>
        </is>
      </c>
      <c r="D36" s="15" t="n"/>
      <c r="E36" s="13" t="inlineStr">
        <is>
          <t>D</t>
        </is>
      </c>
      <c r="F36" t="inlineStr">
        <is>
          <t>Strap 1(EVOH Ethylene glycol)+Strap 2(PE Tetrachloroethylene)+Incineration</t>
        </is>
      </c>
      <c r="T36" t="inlineStr">
        <is>
          <t>UB_energy</t>
        </is>
      </c>
      <c r="U36" s="33" t="n">
        <v>59042878.2392228</v>
      </c>
      <c r="V36" s="38" t="n">
        <v>62345860.1592228</v>
      </c>
      <c r="W36" s="15" t="n">
        <v>54868324.1592228</v>
      </c>
    </row>
    <row r="37" ht="19" customHeight="1">
      <c r="A37" s="15" t="n"/>
      <c r="B37" s="13" t="n"/>
      <c r="D37" s="15" t="n"/>
      <c r="E37" s="13" t="n"/>
      <c r="T37" t="inlineStr">
        <is>
          <t>UB_ghg</t>
        </is>
      </c>
      <c r="U37" s="38" t="n">
        <v>20157.8413701789</v>
      </c>
      <c r="V37" s="34" t="n">
        <v>16149.4821482391</v>
      </c>
      <c r="W37" s="15" t="n">
        <v>17297.1115805058</v>
      </c>
    </row>
    <row r="38" ht="19" customHeight="1">
      <c r="A38" s="15" t="n">
        <v>7162118.4235</v>
      </c>
      <c r="B38" s="13" t="n">
        <v>0.674862365208267</v>
      </c>
      <c r="C38" t="inlineStr">
        <is>
          <t>st1(evoh pyridazine)+st2(pe tetra)+lf</t>
        </is>
      </c>
      <c r="D38" s="15" t="n"/>
      <c r="E38" s="13" t="n"/>
      <c r="T38" t="inlineStr">
        <is>
          <t>UB_withdrawal</t>
        </is>
      </c>
      <c r="U38" s="37" t="n">
        <v>12843.7963634733</v>
      </c>
      <c r="V38" s="33" t="n">
        <v>12259.5445063305</v>
      </c>
      <c r="W38" s="36" t="n">
        <v>12369.2085539495</v>
      </c>
    </row>
    <row r="39" ht="19" customHeight="1">
      <c r="A39" s="13" t="n"/>
      <c r="B39" s="35" t="n"/>
      <c r="D39" s="15" t="n"/>
      <c r="E39" s="13" t="n"/>
      <c r="T39" t="inlineStr">
        <is>
          <t>UB_waste</t>
        </is>
      </c>
      <c r="U39" s="38" t="n">
        <v>1916345.71298879</v>
      </c>
      <c r="V39" s="33" t="n">
        <v>1916345.71298879</v>
      </c>
      <c r="W39" s="15" t="n">
        <v>1916345.71298879</v>
      </c>
    </row>
    <row r="40" ht="19" customHeight="1">
      <c r="A40" s="13" t="n"/>
      <c r="B40" s="35" t="n"/>
      <c r="D40" s="15" t="n"/>
      <c r="E40" s="13" t="n"/>
    </row>
    <row r="41" ht="19" customHeight="1">
      <c r="A41" s="13" t="inlineStr">
        <is>
          <t>ce</t>
        </is>
      </c>
      <c r="B41" s="35" t="inlineStr">
        <is>
          <t>emis</t>
        </is>
      </c>
      <c r="D41" s="15" t="n"/>
      <c r="E41" s="13" t="n"/>
    </row>
    <row r="42" ht="19" customHeight="1">
      <c r="A42" s="13" t="n">
        <v>0.606683018608157</v>
      </c>
      <c r="B42" s="13" t="n">
        <v>652.8</v>
      </c>
      <c r="C42" t="inlineStr">
        <is>
          <t>lf</t>
        </is>
      </c>
      <c r="D42" s="15" t="inlineStr">
        <is>
          <t>A</t>
        </is>
      </c>
      <c r="E42" s="13" t="inlineStr">
        <is>
          <t>Landfill</t>
        </is>
      </c>
    </row>
    <row r="43" ht="19" customHeight="1">
      <c r="A43" s="13" t="n">
        <v>0.638032250183895</v>
      </c>
      <c r="B43" s="13" t="n">
        <v>4317.38277977194</v>
      </c>
      <c r="C43" t="inlineStr">
        <is>
          <t>st1(evoh pyridazine)+lf</t>
        </is>
      </c>
      <c r="D43" s="15" t="inlineStr">
        <is>
          <t>B</t>
        </is>
      </c>
      <c r="E43" s="13" t="inlineStr">
        <is>
          <t>Strap 1(EVOH Pyridazine) + Landfill</t>
        </is>
      </c>
      <c r="F43" s="13" t="n"/>
    </row>
    <row r="44" ht="19" customHeight="1">
      <c r="B44" s="13" t="n"/>
      <c r="D44" s="15" t="inlineStr">
        <is>
          <t>C</t>
        </is>
      </c>
      <c r="E44" s="13" t="inlineStr">
        <is>
          <t>Strap 1(EVOH Pyridazine) +Strap 2(PE Tetrachloroethylene) + Landfill</t>
        </is>
      </c>
      <c r="G44" s="44" t="n"/>
    </row>
    <row r="45" ht="19" customHeight="1">
      <c r="A45" s="13" t="n">
        <v>0.674862365208269</v>
      </c>
      <c r="B45" s="13" t="n">
        <v>9031.054853580261</v>
      </c>
      <c r="D45" s="15" t="n"/>
      <c r="E45" s="13" t="n"/>
      <c r="F45" s="13" t="n"/>
      <c r="G45" s="44" t="n"/>
    </row>
    <row r="46" ht="19" customHeight="1">
      <c r="A46" s="13" t="n">
        <v>0.674862365208267</v>
      </c>
      <c r="B46" s="13" t="n">
        <v>9031.054853580339</v>
      </c>
      <c r="C46" t="inlineStr">
        <is>
          <t>st1(evoh pyridazine)+st2(pe tetra)+lf</t>
        </is>
      </c>
    </row>
    <row r="47" ht="19" customHeight="1">
      <c r="F47" s="15" t="n"/>
    </row>
    <row r="49" ht="19" customHeight="1">
      <c r="F49" s="15" t="n"/>
    </row>
    <row r="50" ht="19" customHeight="1">
      <c r="A50" s="13" t="n"/>
      <c r="D50" s="13" t="n"/>
      <c r="E50" s="13" t="n"/>
      <c r="F50" s="4" t="n"/>
    </row>
    <row r="51" ht="19" customHeight="1">
      <c r="A51" s="13" t="n"/>
      <c r="D51" s="13" t="n"/>
      <c r="E51" s="13" t="n"/>
      <c r="F51" s="15" t="n"/>
    </row>
    <row r="52" ht="19" customHeight="1">
      <c r="D52" s="13" t="n"/>
      <c r="E52" s="13" t="n"/>
    </row>
    <row r="53" ht="19" customHeight="1">
      <c r="D53" s="13" t="n"/>
      <c r="E53" s="13" t="n"/>
      <c r="F53" s="15" t="n"/>
    </row>
    <row r="54" ht="19" customHeight="1">
      <c r="D54" s="13" t="n"/>
      <c r="E54" s="13" t="n"/>
    </row>
    <row r="55" ht="19" customHeight="1">
      <c r="D55" s="13" t="n"/>
      <c r="E55" s="13" t="n"/>
    </row>
    <row r="56" ht="19" customHeight="1">
      <c r="A56" t="inlineStr">
        <is>
          <t>scenario 2 forced</t>
        </is>
      </c>
      <c r="C56" t="inlineStr">
        <is>
          <t>scenario 1</t>
        </is>
      </c>
      <c r="D56" s="13" t="n"/>
      <c r="E56" s="13" t="n"/>
    </row>
    <row r="57" ht="19" customHeight="1">
      <c r="D57" s="13" t="n"/>
      <c r="E57" s="13" t="n"/>
      <c r="H57" s="44" t="inlineStr">
        <is>
          <t xml:space="preserve">Original Profit vs CE Pareto front </t>
        </is>
      </c>
      <c r="N57" s="44" t="inlineStr">
        <is>
          <t xml:space="preserve">Original Profit vs CE Pareto front </t>
        </is>
      </c>
    </row>
    <row r="58" ht="19" customHeight="1">
      <c r="A58" s="13" t="inlineStr">
        <is>
          <t>E_score:0.5625</t>
        </is>
      </c>
      <c r="C58" s="13" t="inlineStr">
        <is>
          <t>E_score:0.5657995794430775</t>
        </is>
      </c>
      <c r="D58" s="13" t="n"/>
      <c r="E58" s="13" t="n"/>
    </row>
    <row r="59" ht="19" customHeight="1">
      <c r="A59" s="13" t="inlineStr">
        <is>
          <t>GHG_score:0.967615513597714</t>
        </is>
      </c>
      <c r="C59" s="13" t="inlineStr">
        <is>
          <t>GHG_score:0.9676155135977162</t>
        </is>
      </c>
      <c r="D59" s="13" t="n"/>
      <c r="E59" s="13" t="n"/>
      <c r="I59" t="inlineStr">
        <is>
          <t>Cost</t>
        </is>
      </c>
      <c r="J59" t="inlineStr">
        <is>
          <t>CE</t>
        </is>
      </c>
      <c r="K59" t="inlineStr">
        <is>
          <t>Solution</t>
        </is>
      </c>
      <c r="N59" t="inlineStr">
        <is>
          <t>Cost</t>
        </is>
      </c>
      <c r="O59" t="inlineStr">
        <is>
          <t>CE</t>
        </is>
      </c>
      <c r="P59" t="inlineStr">
        <is>
          <t>Solution</t>
        </is>
      </c>
    </row>
    <row r="60" ht="19" customHeight="1">
      <c r="A60" s="13" t="inlineStr">
        <is>
          <t>Water_score:0.5</t>
        </is>
      </c>
      <c r="C60" s="13" t="inlineStr">
        <is>
          <t>Water_score:1.0</t>
        </is>
      </c>
      <c r="I60" s="15" t="n">
        <v>8482658.7755</v>
      </c>
      <c r="J60" s="13" t="n">
        <v>0.691030649511772</v>
      </c>
      <c r="K60" s="1" t="n"/>
      <c r="N60" s="15" t="n">
        <v>8187132.29299999</v>
      </c>
      <c r="O60" s="13" t="n">
        <v>0.694888747157751</v>
      </c>
    </row>
    <row r="61" ht="19" customHeight="1">
      <c r="A61" s="13" t="inlineStr">
        <is>
          <t>Waste_score:0.5</t>
        </is>
      </c>
      <c r="C61" s="13" t="inlineStr">
        <is>
          <t>Waste_score:0.5</t>
        </is>
      </c>
      <c r="I61" s="15" t="n">
        <v>8482658.7755</v>
      </c>
      <c r="J61" s="13" t="n">
        <v>0.691030649511771</v>
      </c>
      <c r="N61" s="15" t="n">
        <v>8187132.29299999</v>
      </c>
      <c r="O61" s="13" t="n">
        <v>0.694888747157847</v>
      </c>
    </row>
    <row r="62" ht="19" customHeight="1">
      <c r="A62" s="13" t="inlineStr">
        <is>
          <t>Subs_score:0.0</t>
        </is>
      </c>
      <c r="C62" s="13" t="inlineStr">
        <is>
          <t>Subs_score:0.0</t>
        </is>
      </c>
      <c r="I62" s="15" t="n">
        <v>8482658.7755</v>
      </c>
      <c r="J62" s="13" t="n">
        <v>0.691030649511771</v>
      </c>
      <c r="N62" s="15" t="n">
        <v>8187132.29299999</v>
      </c>
      <c r="O62" s="13" t="n">
        <v>0.694888747157847</v>
      </c>
    </row>
    <row r="63" ht="19" customHeight="1">
      <c r="I63" s="15" t="n">
        <v>8482658.7755</v>
      </c>
      <c r="J63" s="13" t="n">
        <v>0.691030649511771</v>
      </c>
      <c r="N63" s="15" t="n">
        <v>8187132.29299999</v>
      </c>
      <c r="O63" s="13" t="n">
        <v>0.694888747157847</v>
      </c>
    </row>
    <row r="64" ht="19" customHeight="1">
      <c r="I64" s="15" t="n">
        <v>8482658.7755</v>
      </c>
      <c r="J64" s="13" t="n">
        <v>0.691030649511771</v>
      </c>
      <c r="N64" s="15" t="n">
        <v>8187132.29299999</v>
      </c>
      <c r="O64" s="13" t="n">
        <v>0.694888747157847</v>
      </c>
    </row>
    <row r="65" ht="19" customHeight="1">
      <c r="I65" s="15" t="n">
        <v>8482658.7755</v>
      </c>
      <c r="J65" s="13" t="n">
        <v>0.691030649511771</v>
      </c>
      <c r="N65" s="15" t="n">
        <v>8187132.29299999</v>
      </c>
      <c r="O65" s="13" t="n">
        <v>0.694888747157847</v>
      </c>
    </row>
    <row r="66" ht="19" customHeight="1">
      <c r="I66" s="15" t="n">
        <v>8482658.7755</v>
      </c>
      <c r="J66" s="13" t="n">
        <v>0.691030649511771</v>
      </c>
      <c r="K66" t="inlineStr">
        <is>
          <t>st1(evoh ethylene glycol)+st2(PE tetra)+we</t>
        </is>
      </c>
      <c r="N66" s="15" t="n">
        <v>8187132.29299999</v>
      </c>
      <c r="O66" s="13" t="n">
        <v>0.694888747157847</v>
      </c>
      <c r="P66" t="inlineStr">
        <is>
          <t>st1(evoh pyri)+st2(Pe tetra)+we</t>
        </is>
      </c>
    </row>
    <row r="67" ht="19" customHeight="1">
      <c r="I67" s="15" t="n">
        <v>8447550.377499999</v>
      </c>
      <c r="J67" s="13" t="n">
        <v>0.701245079882213</v>
      </c>
      <c r="K67" t="inlineStr">
        <is>
          <t>st1(evoh pyri)+st2(pe tetra)+we</t>
        </is>
      </c>
      <c r="N67" s="15" t="n">
        <v>7876773.91699999</v>
      </c>
      <c r="O67" s="13" t="n">
        <v>0.710680686597808</v>
      </c>
    </row>
    <row r="68" ht="19" customHeight="1">
      <c r="I68" s="15" t="n">
        <v>8137192.0015</v>
      </c>
      <c r="J68" s="13" t="n">
        <v>0.717104027530357</v>
      </c>
      <c r="K68" t="inlineStr">
        <is>
          <t>st1(evoh pyri)+st2(pe tetra)+lf</t>
        </is>
      </c>
      <c r="N68" s="15" t="n">
        <v>7876773.91699999</v>
      </c>
      <c r="O68" s="13" t="n">
        <v>0.710680686597859</v>
      </c>
      <c r="P68" t="inlineStr">
        <is>
          <t>st1(EVOH pyri)+st2(Pe tetra)+lf</t>
        </is>
      </c>
    </row>
    <row r="69" ht="19" customHeight="1">
      <c r="I69" s="15" t="n">
        <v>6733710.892</v>
      </c>
      <c r="J69" s="13" t="n">
        <v>0.722817092241185</v>
      </c>
      <c r="K69" t="inlineStr">
        <is>
          <t>st1(pe tetra)+st2(evoh pyri)+lf</t>
        </is>
      </c>
      <c r="N69" s="15" t="n">
        <v>4476300.1375</v>
      </c>
      <c r="O69" s="13" t="n">
        <v>0.72363450473005</v>
      </c>
      <c r="P69" t="inlineStr">
        <is>
          <t>st1(Pe tetra)+st2(evoh pyri)+lf</t>
        </is>
      </c>
    </row>
    <row r="70">
      <c r="T70" s="4" t="n"/>
    </row>
    <row r="72">
      <c r="H72" s="44" t="inlineStr">
        <is>
          <t>Original Emissions vs CE</t>
        </is>
      </c>
      <c r="N72" s="44" t="inlineStr">
        <is>
          <t>Original Emissions vs CE</t>
        </is>
      </c>
    </row>
    <row r="74">
      <c r="I74" t="inlineStr">
        <is>
          <t>Emissions</t>
        </is>
      </c>
      <c r="J74" t="inlineStr">
        <is>
          <t>CE</t>
        </is>
      </c>
      <c r="K74" t="inlineStr">
        <is>
          <t>Solution</t>
        </is>
      </c>
      <c r="O74" t="inlineStr">
        <is>
          <t>Emissions</t>
        </is>
      </c>
      <c r="P74" t="inlineStr">
        <is>
          <t>CE</t>
        </is>
      </c>
      <c r="Q74" t="inlineStr">
        <is>
          <t>Solution</t>
        </is>
      </c>
    </row>
    <row r="75" ht="19" customHeight="1">
      <c r="I75" s="13" t="n">
        <v>2357.97815436728</v>
      </c>
      <c r="J75" s="13" t="n">
        <v>0.6585501201356621</v>
      </c>
      <c r="K75" t="inlineStr">
        <is>
          <t>st1(evoh pyri)+lf</t>
        </is>
      </c>
      <c r="O75" s="13" t="n">
        <v>2747.17296455362</v>
      </c>
      <c r="P75" s="13" t="n">
        <v>0.664530989607046</v>
      </c>
    </row>
    <row r="76" ht="19" customHeight="1">
      <c r="I76" s="13" t="n">
        <v>2357.97815436728</v>
      </c>
      <c r="J76" s="13" t="n">
        <v>0.658550120135721</v>
      </c>
      <c r="O76" s="13" t="n">
        <v>2747.17296455362</v>
      </c>
      <c r="P76" s="13" t="n">
        <v>0.66453098960711</v>
      </c>
    </row>
    <row r="77" ht="19" customHeight="1">
      <c r="I77" s="13" t="n">
        <v>2357.97815436728</v>
      </c>
      <c r="J77" s="13" t="n">
        <v>0.658550120135721</v>
      </c>
      <c r="O77" s="13" t="n">
        <v>2747.17296455362</v>
      </c>
      <c r="P77" s="13" t="n">
        <v>0.66453098960711</v>
      </c>
    </row>
    <row r="78" ht="19" customHeight="1">
      <c r="I78" s="13" t="n">
        <v>2357.97815436728</v>
      </c>
      <c r="J78" s="13" t="n">
        <v>0.658550120135721</v>
      </c>
      <c r="O78" s="13" t="n">
        <v>2747.17296455362</v>
      </c>
      <c r="P78" s="13" t="n">
        <v>0.66453098960711</v>
      </c>
    </row>
    <row r="79" ht="19" customHeight="1">
      <c r="I79" s="13" t="n">
        <v>2357.97815436728</v>
      </c>
      <c r="J79" s="13" t="n">
        <v>0.658550120135721</v>
      </c>
      <c r="O79" s="13" t="n">
        <v>2747.17296455362</v>
      </c>
      <c r="P79" s="13" t="n">
        <v>0.66453098960711</v>
      </c>
      <c r="Q79" t="inlineStr">
        <is>
          <t>st1(EVOH pyri)+lf</t>
        </is>
      </c>
    </row>
    <row r="80" ht="19" customHeight="1">
      <c r="I80" s="13" t="n">
        <v>5937.76868679796</v>
      </c>
      <c r="J80" s="13" t="n">
        <v>0.72281709224118</v>
      </c>
      <c r="K80" s="46" t="inlineStr">
        <is>
          <t>st1(pe tetra)+st2(evoh pyri)+lf</t>
        </is>
      </c>
      <c r="O80" s="13" t="n">
        <v>6607.94216868503</v>
      </c>
      <c r="P80" s="13" t="n">
        <v>0.723634505269923</v>
      </c>
    </row>
    <row r="81" ht="19" customHeight="1">
      <c r="I81" s="13" t="n">
        <v>5937.76868679808</v>
      </c>
      <c r="J81" s="13" t="n">
        <v>0.722817092241185</v>
      </c>
      <c r="O81" s="13" t="n">
        <v>6607.94216868503</v>
      </c>
      <c r="P81" s="13" t="n">
        <v>0.723634505269923</v>
      </c>
    </row>
    <row r="82" ht="19" customHeight="1">
      <c r="I82" s="13" t="n">
        <v>5937.76868679808</v>
      </c>
      <c r="J82" s="13" t="n">
        <v>0.722817092241185</v>
      </c>
      <c r="O82" s="13" t="n">
        <v>6607.94216868503</v>
      </c>
      <c r="P82" s="13" t="n">
        <v>0.723634505269923</v>
      </c>
    </row>
    <row r="83" ht="19" customHeight="1">
      <c r="I83" s="13" t="n">
        <v>5937.76868679808</v>
      </c>
      <c r="J83" s="13" t="n">
        <v>0.722817092241185</v>
      </c>
      <c r="O83" s="13" t="n">
        <v>6607.94216868503</v>
      </c>
      <c r="P83" s="13" t="n">
        <v>0.723634505269923</v>
      </c>
    </row>
    <row r="84" ht="19" customHeight="1">
      <c r="I84" s="13" t="n">
        <v>5937.76868679808</v>
      </c>
      <c r="J84" s="13" t="n">
        <v>0.722817092241185</v>
      </c>
      <c r="O84" s="13" t="n">
        <v>6607.94216868503</v>
      </c>
      <c r="P84" s="13" t="n">
        <v>0.723634505269923</v>
      </c>
      <c r="Q84" t="inlineStr">
        <is>
          <t>st1(Pe tetra)+st2(evoh pyri)+lf</t>
        </is>
      </c>
    </row>
    <row r="86">
      <c r="D86" s="39" t="n"/>
      <c r="E86" s="39" t="n"/>
      <c r="F86" s="39" t="n"/>
    </row>
    <row r="87">
      <c r="D87" s="39" t="n"/>
      <c r="E87" s="39" t="n"/>
      <c r="F87" s="39" t="n"/>
    </row>
    <row r="88">
      <c r="D88" s="39" t="n"/>
      <c r="E88" s="39" t="n"/>
      <c r="F88" s="39" t="n"/>
    </row>
    <row r="89">
      <c r="D89" s="39" t="n"/>
      <c r="E89" s="39" t="n"/>
      <c r="F89" s="39" t="n"/>
    </row>
    <row r="90">
      <c r="D90" s="39" t="n"/>
      <c r="E90" s="39" t="n"/>
      <c r="F90" s="39" t="n"/>
    </row>
    <row r="93" ht="19" customHeight="1">
      <c r="B93" s="19" t="inlineStr">
        <is>
          <t>Max Profit</t>
        </is>
      </c>
      <c r="C93" s="19" t="inlineStr">
        <is>
          <t>Min Emissions</t>
        </is>
      </c>
      <c r="D93" s="19" t="inlineStr">
        <is>
          <t>Max CE</t>
        </is>
      </c>
      <c r="E93" s="13" t="n"/>
      <c r="F93" s="15" t="n"/>
    </row>
    <row r="94" ht="19" customHeight="1">
      <c r="A94" s="19" t="inlineStr">
        <is>
          <t>Profit</t>
        </is>
      </c>
      <c r="B94" s="16" t="n">
        <v>7453663.39101</v>
      </c>
      <c r="C94" s="17" t="n">
        <v>-62687.92</v>
      </c>
      <c r="D94" s="16" t="n">
        <v>7162118.4235</v>
      </c>
      <c r="E94" s="13" t="n"/>
      <c r="F94" s="15" t="n"/>
      <c r="I94" s="19" t="inlineStr">
        <is>
          <t>Profit</t>
        </is>
      </c>
      <c r="J94" s="19" t="inlineStr">
        <is>
          <t>Emissions</t>
        </is>
      </c>
      <c r="K94" s="19" t="inlineStr">
        <is>
          <t>CE</t>
        </is>
      </c>
      <c r="L94" s="19" t="inlineStr">
        <is>
          <t xml:space="preserve">Human Toxicity Cancer[CTUh]: </t>
        </is>
      </c>
      <c r="M94" s="19" t="inlineStr">
        <is>
          <t>Human Toxicity Non-Cancer[CTUh]:</t>
        </is>
      </c>
      <c r="N94" s="19" t="inlineStr">
        <is>
          <t>Ecotoxicity[CTUe]:</t>
        </is>
      </c>
    </row>
    <row r="95" ht="19" customHeight="1">
      <c r="A95" s="19" t="inlineStr">
        <is>
          <t>Emissions</t>
        </is>
      </c>
      <c r="B95" s="17" t="n">
        <v>14871.7674444306</v>
      </c>
      <c r="C95" s="17" t="n">
        <v>652.8</v>
      </c>
      <c r="D95" s="17" t="n">
        <v>9031.054853580319</v>
      </c>
      <c r="E95" s="13" t="n"/>
      <c r="F95" s="15" t="n"/>
      <c r="H95" s="19" t="inlineStr">
        <is>
          <t>Max Profit</t>
        </is>
      </c>
      <c r="I95" s="16" t="n">
        <v>7453663.39101</v>
      </c>
      <c r="J95" s="17" t="n">
        <v>14871.7674444306</v>
      </c>
      <c r="K95" s="17" t="n">
        <v>0.546400511706868</v>
      </c>
      <c r="L95" s="17" t="n">
        <v>0.356123957180783</v>
      </c>
      <c r="M95" s="17" t="n">
        <v>1.05870017042083</v>
      </c>
      <c r="N95" s="16" t="n">
        <v>115848448.268289</v>
      </c>
    </row>
    <row r="96" ht="19" customHeight="1">
      <c r="A96" s="19" t="inlineStr">
        <is>
          <t>CE</t>
        </is>
      </c>
      <c r="B96" s="17" t="n">
        <v>0.546400511706868</v>
      </c>
      <c r="C96" s="17" t="n">
        <v>0.606683018608161</v>
      </c>
      <c r="D96" s="17" t="n">
        <v>0.6748623652138031</v>
      </c>
      <c r="E96" s="13" t="n"/>
      <c r="F96" s="15" t="n"/>
      <c r="H96" s="19" t="inlineStr">
        <is>
          <t>Min Emissions</t>
        </is>
      </c>
      <c r="I96" s="17" t="n">
        <v>-62687.92</v>
      </c>
      <c r="J96" s="17" t="n">
        <v>652.8</v>
      </c>
      <c r="K96" s="17" t="n">
        <v>0.606683018608161</v>
      </c>
      <c r="L96" s="17" t="n">
        <v>0.04896</v>
      </c>
      <c r="M96" s="17" t="n">
        <v>6.464</v>
      </c>
      <c r="N96" s="16" t="n">
        <v>360000000</v>
      </c>
    </row>
    <row r="97" ht="19" customHeight="1">
      <c r="A97" s="19" t="inlineStr">
        <is>
          <t xml:space="preserve">Human Toxicity Cancer[CTUh]: </t>
        </is>
      </c>
      <c r="B97" s="17" t="n">
        <v>0.356123957180783</v>
      </c>
      <c r="C97" s="17" t="n">
        <v>0.04896</v>
      </c>
      <c r="D97" s="17" t="n">
        <v>0.174717949143329</v>
      </c>
      <c r="E97" s="13" t="n"/>
      <c r="F97" s="15" t="n"/>
      <c r="H97" s="19" t="inlineStr">
        <is>
          <t>Max CE</t>
        </is>
      </c>
      <c r="I97" s="16" t="n">
        <v>7162118.4235</v>
      </c>
      <c r="J97" s="17" t="n">
        <v>9031.054853580319</v>
      </c>
      <c r="K97" s="17" t="n">
        <v>0.6748623652138031</v>
      </c>
      <c r="L97" s="17" t="n">
        <v>0.174717949143329</v>
      </c>
      <c r="M97" s="17" t="n">
        <v>2.12245474514464</v>
      </c>
      <c r="N97" s="16" t="n">
        <v>117083958.528147</v>
      </c>
    </row>
    <row r="98" ht="19" customHeight="1">
      <c r="A98" s="19" t="inlineStr">
        <is>
          <t>Human Toxicity Non-Cancer[CTUh]:</t>
        </is>
      </c>
      <c r="B98" s="17" t="n">
        <v>1.05870017042083</v>
      </c>
      <c r="C98" s="17" t="n">
        <v>6.464</v>
      </c>
      <c r="D98" s="17" t="n">
        <v>2.12245474514464</v>
      </c>
      <c r="E98" s="15" t="n"/>
    </row>
    <row r="99" ht="19" customHeight="1">
      <c r="A99" s="19" t="inlineStr">
        <is>
          <t>Ecotoxicity[CTUe]:</t>
        </is>
      </c>
      <c r="B99" s="16" t="n">
        <v>115848448.268289</v>
      </c>
      <c r="C99" s="16" t="n">
        <v>360000000</v>
      </c>
      <c r="D99" s="16" t="n">
        <v>117083958.528147</v>
      </c>
      <c r="E99" s="15" t="n"/>
    </row>
    <row r="100" ht="19" customHeight="1">
      <c r="A100" s="53" t="inlineStr">
        <is>
          <t>solution</t>
        </is>
      </c>
      <c r="B100" s="52" t="inlineStr">
        <is>
          <t>Strap1(EVOH Ethylene Glycol)+Strap2(PE Tetrachloroethylene) +Incineration</t>
        </is>
      </c>
      <c r="C100" s="52" t="inlineStr">
        <is>
          <t xml:space="preserve">landfill </t>
        </is>
      </c>
      <c r="D100" s="52" t="inlineStr">
        <is>
          <t>Strap1(EVOH Pyridazine)+Strap2(PE Tetrachloroethylene) +Landfill</t>
        </is>
      </c>
      <c r="E100" s="15" t="n"/>
    </row>
    <row r="101" ht="19" customHeight="1">
      <c r="C101" s="18" t="n"/>
      <c r="D101" s="18" t="inlineStr">
        <is>
          <t>evoh pyri</t>
        </is>
      </c>
      <c r="E101" s="15" t="n"/>
    </row>
    <row r="102" ht="19" customHeight="1">
      <c r="C102" s="18" t="n"/>
      <c r="D102" s="18" t="inlineStr">
        <is>
          <t>PE tetra</t>
        </is>
      </c>
      <c r="E102" s="15" t="n"/>
    </row>
    <row r="103">
      <c r="C103" s="18" t="n"/>
      <c r="D103" s="18" t="inlineStr">
        <is>
          <t>lf</t>
        </is>
      </c>
    </row>
    <row r="107">
      <c r="B107" s="18" t="inlineStr">
        <is>
          <t>it could be gas_h2 but emissions too high and gas_h2cc ce too low</t>
        </is>
      </c>
    </row>
    <row r="108">
      <c r="B108" s="18" t="inlineStr">
        <is>
          <t>evoh ethylene glycol</t>
        </is>
      </c>
    </row>
    <row r="109">
      <c r="B109" s="18" t="inlineStr">
        <is>
          <t>pe tetrachloroethylene</t>
        </is>
      </c>
    </row>
    <row r="130" ht="19" customHeight="1">
      <c r="D130" s="13" t="n"/>
      <c r="E130" s="13" t="n"/>
    </row>
    <row r="131" ht="19" customHeight="1">
      <c r="D131" s="13" t="n"/>
      <c r="E131" s="13" t="n"/>
    </row>
    <row r="132" ht="19" customHeight="1">
      <c r="D132" s="13" t="n"/>
      <c r="E132" s="13" t="n"/>
    </row>
    <row r="133" ht="19" customHeight="1">
      <c r="D133" s="13" t="n"/>
      <c r="E133" s="13" t="n"/>
    </row>
    <row r="134" ht="19" customHeight="1">
      <c r="D134" s="13" t="n"/>
      <c r="E134" s="13" t="n"/>
    </row>
    <row r="135" ht="19" customHeight="1">
      <c r="D135" s="13" t="n"/>
      <c r="E135" s="13" t="n"/>
    </row>
    <row r="136" ht="19" customHeight="1">
      <c r="D136" s="13" t="n"/>
      <c r="E136" s="13" t="n"/>
    </row>
    <row r="137" ht="19" customHeight="1">
      <c r="D137" s="13" t="n"/>
      <c r="E137" s="13" t="n"/>
    </row>
    <row r="138" ht="19" customHeight="1">
      <c r="D138" s="13" t="n"/>
      <c r="E138" s="13" t="n"/>
    </row>
    <row r="139" ht="19" customHeight="1">
      <c r="D139" s="13" t="n"/>
      <c r="E139" s="13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139"/>
  <sheetViews>
    <sheetView topLeftCell="A25" zoomScale="65" workbookViewId="0">
      <selection activeCell="B4" sqref="B4:B5"/>
    </sheetView>
  </sheetViews>
  <sheetFormatPr baseColWidth="10" defaultRowHeight="16"/>
  <cols>
    <col width="17.6640625" customWidth="1" min="2" max="2"/>
    <col width="19.1640625" customWidth="1" min="3" max="3"/>
    <col width="23.6640625" customWidth="1" min="4" max="4"/>
    <col width="18.83203125" customWidth="1" min="5" max="5"/>
    <col width="36.33203125" customWidth="1" min="7" max="7"/>
    <col width="10.83203125" customWidth="1" style="44" min="8" max="8"/>
    <col width="23" customWidth="1" min="9" max="9"/>
    <col width="11" bestFit="1" customWidth="1" min="10" max="10"/>
    <col width="28.6640625" customWidth="1" min="11" max="11"/>
    <col width="11" bestFit="1" customWidth="1" min="12" max="12"/>
    <col width="16.6640625" customWidth="1" style="44" min="14" max="14"/>
    <col width="17" customWidth="1" min="15" max="15"/>
    <col width="11" bestFit="1" customWidth="1" min="16" max="16"/>
    <col width="17.83203125" customWidth="1" min="17" max="17"/>
    <col width="13.6640625" customWidth="1" min="18" max="18"/>
    <col width="21.1640625" customWidth="1" min="19" max="20"/>
    <col width="18.83203125" customWidth="1" min="21" max="21"/>
    <col width="19.6640625" customWidth="1" min="22" max="22"/>
    <col width="17.1640625" customWidth="1" min="23" max="23"/>
    <col width="14" customWidth="1" min="24" max="24"/>
    <col width="22.5" bestFit="1" customWidth="1" min="25" max="25"/>
    <col width="15" customWidth="1" min="26" max="26"/>
    <col width="11.1640625" bestFit="1" customWidth="1" min="28" max="28"/>
    <col width="19.33203125" bestFit="1" customWidth="1" min="30" max="30"/>
    <col width="13.1640625" bestFit="1" customWidth="1" min="33" max="33"/>
    <col width="17.33203125" bestFit="1" customWidth="1" min="34" max="34"/>
    <col width="11" bestFit="1" customWidth="1" min="35" max="35"/>
  </cols>
  <sheetData>
    <row r="1">
      <c r="B1" s="26" t="n">
        <v>45958</v>
      </c>
      <c r="V1" s="25" t="inlineStr">
        <is>
          <t>case 1</t>
        </is>
      </c>
      <c r="W1" s="25" t="n"/>
      <c r="X1" s="25" t="n"/>
      <c r="Y1" s="25" t="n"/>
      <c r="AF1" s="25" t="inlineStr">
        <is>
          <t>case 1</t>
        </is>
      </c>
      <c r="AG1" s="25" t="n"/>
      <c r="AH1" s="25" t="n"/>
      <c r="AI1" s="25" t="n"/>
    </row>
    <row r="2">
      <c r="B2" t="inlineStr">
        <is>
          <t>CASE 1</t>
        </is>
      </c>
      <c r="I2" t="inlineStr">
        <is>
          <t>CASE 2</t>
        </is>
      </c>
      <c r="J2" s="41" t="n"/>
      <c r="O2" t="inlineStr">
        <is>
          <t>CASE 3</t>
        </is>
      </c>
      <c r="P2" s="41" t="n"/>
    </row>
    <row r="3">
      <c r="B3" s="19" t="inlineStr">
        <is>
          <t>Max Profit</t>
        </is>
      </c>
      <c r="C3" s="19" t="inlineStr">
        <is>
          <t>Min Emissions</t>
        </is>
      </c>
      <c r="D3" s="19" t="inlineStr">
        <is>
          <t>Max CE</t>
        </is>
      </c>
      <c r="I3" s="19" t="inlineStr">
        <is>
          <t>Max Profit</t>
        </is>
      </c>
      <c r="J3" s="42" t="inlineStr">
        <is>
          <t>Min Emissions</t>
        </is>
      </c>
      <c r="K3" s="19" t="inlineStr">
        <is>
          <t>Max CE (w Emissions and Profit)</t>
        </is>
      </c>
      <c r="L3" s="30" t="n"/>
      <c r="M3" s="30" t="n"/>
      <c r="O3" s="19" t="inlineStr">
        <is>
          <t>Max Profit</t>
        </is>
      </c>
      <c r="P3" s="42" t="inlineStr">
        <is>
          <t>Min Emissions</t>
        </is>
      </c>
      <c r="Q3" s="19" t="inlineStr">
        <is>
          <t>Max CE (w Emissions and Profit)</t>
        </is>
      </c>
      <c r="W3" s="19" t="inlineStr">
        <is>
          <t>Max Profit</t>
        </is>
      </c>
      <c r="X3" s="19" t="inlineStr">
        <is>
          <t>Min Emissions</t>
        </is>
      </c>
      <c r="Y3" s="19" t="inlineStr">
        <is>
          <t>Min CE</t>
        </is>
      </c>
      <c r="AG3" s="19" t="inlineStr">
        <is>
          <t>Max Profit</t>
        </is>
      </c>
      <c r="AH3" s="19" t="inlineStr">
        <is>
          <t>Min Emissions</t>
        </is>
      </c>
      <c r="AI3" s="19" t="inlineStr">
        <is>
          <t>Max CE</t>
        </is>
      </c>
    </row>
    <row r="4" ht="19" customHeight="1">
      <c r="A4" s="20" t="inlineStr">
        <is>
          <t>Profit</t>
        </is>
      </c>
      <c r="B4" s="15" t="n">
        <v>7481215.39099999</v>
      </c>
      <c r="C4" s="13" t="n">
        <v>-62687.92</v>
      </c>
      <c r="D4" s="15" t="n">
        <v>7162118.42349995</v>
      </c>
      <c r="E4" s="32" t="inlineStr">
        <is>
          <t>New values with 1.5* mean for UB</t>
        </is>
      </c>
      <c r="H4" s="20" t="inlineStr">
        <is>
          <t>Profit</t>
        </is>
      </c>
      <c r="I4" s="15" t="n">
        <v>8482658.7755</v>
      </c>
      <c r="J4" s="40" t="n">
        <v>-62687.92</v>
      </c>
      <c r="K4" s="15" t="n">
        <v>6733710.892</v>
      </c>
      <c r="L4" s="15" t="n"/>
      <c r="M4" s="15" t="n"/>
      <c r="N4" s="20" t="inlineStr">
        <is>
          <t>Profit</t>
        </is>
      </c>
      <c r="O4" s="15" t="n">
        <v>8187130</v>
      </c>
      <c r="P4" s="40" t="n">
        <v>-62687.92</v>
      </c>
      <c r="Q4" s="15" t="n">
        <v>4476300.1375</v>
      </c>
      <c r="V4" s="19" t="inlineStr">
        <is>
          <t>Profit</t>
        </is>
      </c>
      <c r="W4" s="16" t="n">
        <v>2860480</v>
      </c>
      <c r="X4" s="16" t="n">
        <v>-53190402.137053</v>
      </c>
      <c r="Y4" s="17" t="n">
        <v>971840</v>
      </c>
      <c r="AB4">
        <f>Y4/8000</f>
        <v/>
      </c>
      <c r="AF4" s="19" t="inlineStr">
        <is>
          <t>Profit</t>
        </is>
      </c>
      <c r="AG4" s="23" t="n">
        <v>971840</v>
      </c>
      <c r="AH4" s="22" t="n">
        <v>-53190402.137053</v>
      </c>
      <c r="AI4" s="17" t="n">
        <v>971840</v>
      </c>
    </row>
    <row r="5" ht="19" customHeight="1">
      <c r="A5" s="20" t="inlineStr">
        <is>
          <t>Emissions</t>
        </is>
      </c>
      <c r="B5" s="13" t="n">
        <v>14871.7674444304</v>
      </c>
      <c r="C5" s="13" t="n">
        <v>652.8</v>
      </c>
      <c r="D5" s="13" t="n">
        <v>9031.054853579521</v>
      </c>
      <c r="E5" t="inlineStr">
        <is>
          <t>obtained using: Final model with circularity-Modified scenarios-Copy1_Scenario1w_Circularity</t>
        </is>
      </c>
      <c r="H5" s="20" t="inlineStr">
        <is>
          <t>Emissions</t>
        </is>
      </c>
      <c r="I5" s="13" t="n">
        <v>11702.9767553408</v>
      </c>
      <c r="J5" s="40" t="n">
        <v>652.8</v>
      </c>
      <c r="K5" s="13" t="n">
        <v>5937.76868679808</v>
      </c>
      <c r="L5" s="13" t="n"/>
      <c r="M5" s="13" t="n"/>
      <c r="N5" s="20" t="inlineStr">
        <is>
          <t>Emissions</t>
        </is>
      </c>
      <c r="O5" s="13" t="n">
        <v>12913.3038470005</v>
      </c>
      <c r="P5" s="40" t="n">
        <v>652.8</v>
      </c>
      <c r="Q5" s="13" t="n">
        <v>6607.94216868503</v>
      </c>
      <c r="V5" s="19" t="inlineStr">
        <is>
          <t>Emissions</t>
        </is>
      </c>
      <c r="W5" s="17" t="n">
        <v>78022.0071024007</v>
      </c>
      <c r="X5" s="17" t="n">
        <v>74620.5234769439</v>
      </c>
      <c r="Y5" s="17" t="n">
        <v>87362.6606971719</v>
      </c>
      <c r="AF5" s="19" t="inlineStr">
        <is>
          <t>Emissions</t>
        </is>
      </c>
      <c r="AG5" s="13" t="n">
        <v>87362.6606971719</v>
      </c>
      <c r="AH5" s="13" t="n">
        <v>74620.5234769439</v>
      </c>
      <c r="AI5" s="17" t="n">
        <v>87362.6606971719</v>
      </c>
    </row>
    <row r="6" ht="19" customHeight="1">
      <c r="A6" s="20" t="inlineStr">
        <is>
          <t>CE</t>
        </is>
      </c>
      <c r="B6" s="13" t="n">
        <v>0.6508597415203889</v>
      </c>
      <c r="C6" s="13" t="n">
        <v>0.606023050537008</v>
      </c>
      <c r="D6" s="13" t="n">
        <v>0.674862365213808</v>
      </c>
      <c r="E6" t="inlineStr">
        <is>
          <t>I used fixed UB defined by worst of 3 cases</t>
        </is>
      </c>
      <c r="H6" s="20" t="inlineStr">
        <is>
          <t>CE</t>
        </is>
      </c>
      <c r="I6" s="13" t="n">
        <v>0.691030649511771</v>
      </c>
      <c r="J6" s="13" t="n">
        <v>0.606682966425623</v>
      </c>
      <c r="K6" s="13" t="n">
        <v>0.722817092241165</v>
      </c>
      <c r="L6" s="13" t="n"/>
      <c r="M6" s="13" t="n"/>
      <c r="N6" s="20" t="inlineStr">
        <is>
          <t>CE</t>
        </is>
      </c>
      <c r="O6" s="13" t="n">
        <v>0.694888747157844</v>
      </c>
      <c r="P6" s="13" t="n">
        <v>0.606682966425623</v>
      </c>
      <c r="Q6" s="13" t="n">
        <v>0.7236345052698649</v>
      </c>
      <c r="V6" s="20" t="inlineStr">
        <is>
          <t>CE</t>
        </is>
      </c>
      <c r="W6" s="17" t="n">
        <v>0.417805273964287</v>
      </c>
      <c r="X6" s="17" t="n">
        <v>0.399750893420699</v>
      </c>
      <c r="Y6" s="17" t="n">
        <v>0.72104468275865</v>
      </c>
      <c r="AF6" s="20" t="inlineStr">
        <is>
          <t>CE</t>
        </is>
      </c>
      <c r="AG6" s="13" t="n">
        <v>0.721044682756524</v>
      </c>
      <c r="AH6" s="13" t="n">
        <v>0.399750893420699</v>
      </c>
      <c r="AI6" s="17" t="n">
        <v>0.72104468275865</v>
      </c>
    </row>
    <row r="7">
      <c r="B7" s="18" t="inlineStr">
        <is>
          <t>Strap1+2 +we</t>
        </is>
      </c>
      <c r="C7" s="18" t="inlineStr">
        <is>
          <t xml:space="preserve">landfill </t>
        </is>
      </c>
      <c r="D7" s="18" t="inlineStr">
        <is>
          <t>st1+st2+lf</t>
        </is>
      </c>
      <c r="I7" s="18" t="inlineStr">
        <is>
          <t>Strap1+2 +we</t>
        </is>
      </c>
      <c r="J7" s="43" t="inlineStr">
        <is>
          <t xml:space="preserve">landfill </t>
        </is>
      </c>
      <c r="K7" s="18" t="inlineStr">
        <is>
          <t>st1+St2+lf</t>
        </is>
      </c>
      <c r="O7" s="18" t="inlineStr">
        <is>
          <t>Strap1+2 +we</t>
        </is>
      </c>
      <c r="P7" s="43" t="inlineStr">
        <is>
          <t xml:space="preserve">landfill </t>
        </is>
      </c>
      <c r="Q7" s="18" t="inlineStr">
        <is>
          <t>st1+st2+lf</t>
        </is>
      </c>
      <c r="W7" s="18" t="inlineStr">
        <is>
          <t>Stage 1: Gas_H2cc</t>
        </is>
      </c>
      <c r="X7" s="18" t="inlineStr">
        <is>
          <t>stage 3: strap1+2+gas_er</t>
        </is>
      </c>
      <c r="Y7" s="18" t="inlineStr">
        <is>
          <t>stage 1: we</t>
        </is>
      </c>
      <c r="AG7" s="18" t="inlineStr">
        <is>
          <t>Stage 1: we</t>
        </is>
      </c>
      <c r="AH7" s="18" t="inlineStr">
        <is>
          <t>stage 3: strap1+2+gas_er</t>
        </is>
      </c>
      <c r="AI7" s="18" t="inlineStr">
        <is>
          <t>stage 1: we</t>
        </is>
      </c>
    </row>
    <row r="8">
      <c r="B8" s="18" t="n"/>
      <c r="C8" s="18" t="n"/>
      <c r="D8" s="18" t="inlineStr">
        <is>
          <t>evoh pyri</t>
        </is>
      </c>
      <c r="J8" s="41" t="n"/>
      <c r="P8" s="41" t="n"/>
    </row>
    <row r="9">
      <c r="B9" s="18" t="inlineStr">
        <is>
          <t>evoh ethylene glycol</t>
        </is>
      </c>
      <c r="C9" s="18" t="n"/>
      <c r="D9" s="18" t="inlineStr">
        <is>
          <t>PE tetra</t>
        </is>
      </c>
      <c r="I9" t="inlineStr">
        <is>
          <t>evoh ethylene glycol</t>
        </is>
      </c>
      <c r="K9" t="inlineStr">
        <is>
          <t>pe tetra</t>
        </is>
      </c>
      <c r="O9" t="inlineStr">
        <is>
          <t>evoh pyrid</t>
        </is>
      </c>
      <c r="Q9" t="inlineStr">
        <is>
          <t>PE tetra</t>
        </is>
      </c>
    </row>
    <row r="10">
      <c r="B10" s="18" t="inlineStr">
        <is>
          <t>pe tetrachloroethylene</t>
        </is>
      </c>
      <c r="C10" s="18" t="n"/>
      <c r="D10" s="18" t="inlineStr">
        <is>
          <t>lf</t>
        </is>
      </c>
      <c r="I10" t="inlineStr">
        <is>
          <t>pe tetrachloroethylene</t>
        </is>
      </c>
      <c r="K10" t="inlineStr">
        <is>
          <t>evoh pyri</t>
        </is>
      </c>
      <c r="O10" t="inlineStr">
        <is>
          <t>PE tetra</t>
        </is>
      </c>
      <c r="Q10" t="inlineStr">
        <is>
          <t>evoh pyri</t>
        </is>
      </c>
      <c r="V10" t="inlineStr">
        <is>
          <t>emissions/ton</t>
        </is>
      </c>
      <c r="W10">
        <f>W5/8000</f>
        <v/>
      </c>
      <c r="X10">
        <f>X5/8000</f>
        <v/>
      </c>
      <c r="Y10">
        <f>Y5/8000</f>
        <v/>
      </c>
      <c r="AB10" t="inlineStr">
        <is>
          <t>even with 100362.6607 , it starts with emission value of 81106</t>
        </is>
      </c>
      <c r="AF10" t="inlineStr">
        <is>
          <t>emissions/ton</t>
        </is>
      </c>
      <c r="AG10" t="inlineStr">
        <is>
          <t>we</t>
        </is>
      </c>
      <c r="AH10">
        <f>AH5/8000</f>
        <v/>
      </c>
      <c r="AI10">
        <f>AI5/8000</f>
        <v/>
      </c>
    </row>
    <row r="11" ht="19" customHeight="1">
      <c r="K11" t="inlineStr">
        <is>
          <t>lf</t>
        </is>
      </c>
      <c r="P11" s="13" t="n">
        <v>0.606023102719542</v>
      </c>
    </row>
    <row r="12">
      <c r="AD12">
        <f>81106/8000</f>
        <v/>
      </c>
    </row>
    <row r="13" ht="19" customHeight="1">
      <c r="V13" s="25" t="inlineStr">
        <is>
          <t>case 2</t>
        </is>
      </c>
      <c r="W13" s="25" t="n"/>
      <c r="X13" s="25" t="n"/>
      <c r="Y13" s="25" t="n"/>
      <c r="AD13" s="22" t="n">
        <v>-15092562.21</v>
      </c>
    </row>
    <row r="14">
      <c r="AD14">
        <f>AD13/8000</f>
        <v/>
      </c>
    </row>
    <row r="15">
      <c r="W15" s="19" t="inlineStr">
        <is>
          <t>Max Profit</t>
        </is>
      </c>
      <c r="X15" s="19" t="inlineStr">
        <is>
          <t>Min Emissions</t>
        </is>
      </c>
      <c r="Y15" s="19" t="inlineStr">
        <is>
          <t>Min CE</t>
        </is>
      </c>
      <c r="AD15" t="inlineStr">
        <is>
          <t>strap 1+gash2cc</t>
        </is>
      </c>
    </row>
    <row r="16" ht="19" customHeight="1">
      <c r="V16" s="19" t="inlineStr">
        <is>
          <t>Profit</t>
        </is>
      </c>
      <c r="W16" s="16" t="n"/>
      <c r="X16" s="16" t="n"/>
      <c r="Y16" s="17" t="n"/>
    </row>
    <row r="17" ht="19" customHeight="1">
      <c r="J17" t="inlineStr">
        <is>
          <t>works</t>
        </is>
      </c>
      <c r="V17" s="19" t="inlineStr">
        <is>
          <t>Emissions</t>
        </is>
      </c>
      <c r="W17" s="17" t="n"/>
      <c r="X17" s="17" t="n"/>
      <c r="Y17" s="17" t="n"/>
    </row>
    <row r="18" ht="19" customHeight="1">
      <c r="J18" t="inlineStr">
        <is>
          <t>evoh pyri,lf</t>
        </is>
      </c>
      <c r="V18" s="20" t="inlineStr">
        <is>
          <t>CE</t>
        </is>
      </c>
      <c r="W18" s="17" t="n"/>
      <c r="X18" s="17" t="n"/>
      <c r="Y18" s="17" t="n"/>
    </row>
    <row r="19">
      <c r="W19" s="18" t="n"/>
      <c r="X19" s="18" t="n"/>
      <c r="Y19" s="18" t="n"/>
    </row>
    <row r="20">
      <c r="I20" t="inlineStr">
        <is>
          <t>Pareto: emissions vs cost</t>
        </is>
      </c>
      <c r="O20" t="inlineStr">
        <is>
          <t>Pareto: emissions vs cost</t>
        </is>
      </c>
    </row>
    <row r="22">
      <c r="C22" t="inlineStr">
        <is>
          <t>cost</t>
        </is>
      </c>
      <c r="D22" t="inlineStr">
        <is>
          <t>emis_arr</t>
        </is>
      </c>
      <c r="I22" t="inlineStr">
        <is>
          <t>Cost</t>
        </is>
      </c>
      <c r="J22" t="inlineStr">
        <is>
          <t>Emissions</t>
        </is>
      </c>
      <c r="K22" t="inlineStr">
        <is>
          <t>Solutions</t>
        </is>
      </c>
      <c r="L22" t="inlineStr">
        <is>
          <t>Calculated circularity</t>
        </is>
      </c>
      <c r="O22" t="inlineStr">
        <is>
          <t>Cost</t>
        </is>
      </c>
      <c r="P22" t="inlineStr">
        <is>
          <t>Emissions</t>
        </is>
      </c>
      <c r="Q22" t="inlineStr">
        <is>
          <t>Solutions</t>
        </is>
      </c>
      <c r="R22" t="inlineStr">
        <is>
          <t>Calculated circularity</t>
        </is>
      </c>
      <c r="V22" s="25" t="inlineStr">
        <is>
          <t>case 3</t>
        </is>
      </c>
      <c r="W22" s="25" t="n"/>
      <c r="X22" s="25" t="n"/>
      <c r="Y22" s="25" t="n"/>
    </row>
    <row r="23" ht="35" customHeight="1">
      <c r="C23" s="15" t="n">
        <v>7472476.79948999</v>
      </c>
      <c r="D23" s="13" t="n">
        <v>14547.2148535803</v>
      </c>
      <c r="E23" t="inlineStr">
        <is>
          <t>st1(evoh pyri)+st2(PE tetra)+we</t>
        </is>
      </c>
      <c r="I23" s="15" t="n">
        <v>8482658.7755</v>
      </c>
      <c r="J23" s="13" t="n">
        <v>11702.9767553408</v>
      </c>
      <c r="K23" s="1" t="inlineStr">
        <is>
          <t>st1 (evoh, ethyle gly)+st2 (Pe tetra) +we</t>
        </is>
      </c>
      <c r="L23" s="13" t="n">
        <v>0.690408106118075</v>
      </c>
      <c r="O23" s="15" t="n">
        <v>8187132.29299999</v>
      </c>
      <c r="P23" s="13" t="n">
        <v>12913.3038470005</v>
      </c>
      <c r="Q23" s="45" t="inlineStr">
        <is>
          <t>st1(evoh pyri)+st2(pe tetra)+we</t>
        </is>
      </c>
      <c r="R23" s="13" t="n">
        <v>0.695568815275271</v>
      </c>
      <c r="AD23" t="inlineStr">
        <is>
          <t>if the price for post-consumer ldpe film is around $0.109/lb, do you think is a good assumption for us to say the mixed waste is $0.05 (this is said to be price for grade b film) ?</t>
        </is>
      </c>
    </row>
    <row r="24" ht="35" customHeight="1">
      <c r="B24" t="n"/>
      <c r="C24" s="15" t="n">
        <v>7453663.39099</v>
      </c>
      <c r="D24" s="13" t="n">
        <v>12069.5713659993</v>
      </c>
      <c r="E24" t="inlineStr">
        <is>
          <t>st1(evoh ethylene glycol)+strap 2( PE tetra)+gas_h2cc</t>
        </is>
      </c>
      <c r="I24" s="15" t="n">
        <v>8455106.7755</v>
      </c>
      <c r="J24" s="13" t="n">
        <v>8900.78067690952</v>
      </c>
      <c r="K24" s="1">
        <f>K25</f>
        <v/>
      </c>
      <c r="L24" s="13" t="n">
        <v>0.530422981624517</v>
      </c>
      <c r="O24" s="15" t="n">
        <v>8159580.29299999</v>
      </c>
      <c r="P24" s="13" t="n">
        <v>10111.1077685692</v>
      </c>
      <c r="W24" s="19" t="inlineStr">
        <is>
          <t>Max Profit</t>
        </is>
      </c>
      <c r="X24" s="19" t="inlineStr">
        <is>
          <t>Min Emissions</t>
        </is>
      </c>
      <c r="Y24" s="19" t="inlineStr">
        <is>
          <t>Min CE</t>
        </is>
      </c>
    </row>
    <row r="25" ht="35" customHeight="1">
      <c r="C25" s="15" t="n">
        <v>7170857.01499</v>
      </c>
      <c r="D25" s="13" t="n">
        <v>9355.60744443066</v>
      </c>
      <c r="E25" t="inlineStr">
        <is>
          <t>st1(evoh ethylene glycol)+strap 2( PE tetra)+lf</t>
        </is>
      </c>
      <c r="I25" s="15" t="n">
        <v>8455106.7755</v>
      </c>
      <c r="J25" s="13" t="n">
        <v>8900.78067690952</v>
      </c>
      <c r="K25" s="1" t="inlineStr">
        <is>
          <t>st1 (evoh, ethyle gly)+st2 (Pe tetra) +gas_h2cc</t>
        </is>
      </c>
      <c r="O25" s="15" t="n">
        <v>8159580.29299999</v>
      </c>
      <c r="P25" s="13" t="n">
        <v>10111.1077685692</v>
      </c>
      <c r="Q25" t="inlineStr">
        <is>
          <t>st1(evoh pyri)+st2(pe tetra)+gas_h2cc</t>
        </is>
      </c>
      <c r="R25" s="13" t="n">
        <v>0.534739133012309</v>
      </c>
      <c r="V25" s="19" t="inlineStr">
        <is>
          <t>Profit</t>
        </is>
      </c>
      <c r="W25" s="16" t="n"/>
      <c r="X25" s="16" t="n"/>
      <c r="Y25" s="17" t="n"/>
      <c r="AD25">
        <f>0.05*2.2*1000</f>
        <v/>
      </c>
      <c r="AE25" t="inlineStr">
        <is>
          <t>given 5 cents/lb</t>
        </is>
      </c>
      <c r="AF25" t="inlineStr">
        <is>
          <t>https://resource-recycling.com/plastics/2025/09/17/plastic-bale-prices-continue-to-fall/</t>
        </is>
      </c>
    </row>
    <row r="26" ht="35" customHeight="1">
      <c r="C26" s="15" t="n">
        <v>7170857.01499</v>
      </c>
      <c r="D26" s="13" t="n">
        <v>9355.60744443066</v>
      </c>
      <c r="I26" s="15" t="n">
        <v>8172300.3995</v>
      </c>
      <c r="J26" s="13" t="n">
        <v>6186.81675534089</v>
      </c>
      <c r="K26" s="1">
        <f>K27</f>
        <v/>
      </c>
      <c r="L26" s="13" t="n">
        <v>0.707134729531691</v>
      </c>
      <c r="O26" s="15" t="n">
        <v>7876773.91699999</v>
      </c>
      <c r="P26" s="13" t="n">
        <v>7397.14384700058</v>
      </c>
      <c r="V26" s="19" t="inlineStr">
        <is>
          <t>Emissions</t>
        </is>
      </c>
      <c r="W26" s="17" t="n"/>
      <c r="X26" s="17" t="n"/>
      <c r="Y26" s="17" t="n"/>
    </row>
    <row r="27" ht="35" customHeight="1">
      <c r="C27" s="15" t="n">
        <v>3459497.42249</v>
      </c>
      <c r="D27" s="13" t="n">
        <v>4641.93537062226</v>
      </c>
      <c r="E27" t="inlineStr">
        <is>
          <t>st1(evoh ethylene glycol)+lf</t>
        </is>
      </c>
      <c r="I27" s="15" t="n">
        <v>8172300.3995</v>
      </c>
      <c r="J27" s="13" t="n">
        <v>6186.81675534089</v>
      </c>
      <c r="K27" s="1" t="inlineStr">
        <is>
          <t>st1 (evoh, ethyle gly)+st2 (Pe tetra) +lf</t>
        </is>
      </c>
      <c r="O27" s="15" t="n">
        <v>7876773.91699999</v>
      </c>
      <c r="P27" s="13" t="n">
        <v>7397.14384700059</v>
      </c>
      <c r="Q27" t="inlineStr">
        <is>
          <t>st1(evoh pyri)+st2(pe tetra)+lf</t>
        </is>
      </c>
      <c r="R27" s="13" t="n">
        <v>0.710328139763828</v>
      </c>
      <c r="V27" s="20" t="inlineStr">
        <is>
          <t>CE</t>
        </is>
      </c>
      <c r="W27" s="17" t="n"/>
      <c r="X27" s="17" t="n"/>
      <c r="Y27" s="17" t="n"/>
    </row>
    <row r="28" ht="19" customHeight="1">
      <c r="C28" s="15" t="n">
        <v>3459497.42249</v>
      </c>
      <c r="D28" s="13" t="n">
        <v>4641.93537062226</v>
      </c>
      <c r="I28" s="15" t="n">
        <v>3847686.155</v>
      </c>
      <c r="J28" s="13" t="n">
        <v>2531.81852559195</v>
      </c>
      <c r="K28" s="1">
        <f>K29</f>
        <v/>
      </c>
      <c r="L28" s="13" t="n">
        <v>0.648368532402903</v>
      </c>
      <c r="O28" s="15" t="n">
        <v>3749373.472</v>
      </c>
      <c r="P28" s="13" t="n">
        <v>2747.17296455362</v>
      </c>
      <c r="W28" s="18" t="n"/>
      <c r="X28" s="18" t="n"/>
      <c r="Y28" s="18" t="n"/>
    </row>
    <row r="29" ht="19" customHeight="1">
      <c r="C29" s="15" t="n">
        <v>3459497.42249</v>
      </c>
      <c r="D29" s="13" t="n">
        <v>4641.93537062226</v>
      </c>
      <c r="I29" s="15" t="n">
        <v>3847686.155</v>
      </c>
      <c r="J29" s="13" t="n">
        <v>2531.81852559195</v>
      </c>
      <c r="K29" s="1">
        <f>K30</f>
        <v/>
      </c>
      <c r="O29" s="15" t="n">
        <v>3749373.472</v>
      </c>
      <c r="P29" s="13" t="n">
        <v>2747.17296455362</v>
      </c>
    </row>
    <row r="30" ht="19" customHeight="1">
      <c r="C30" s="13" t="n">
        <v>-62687.92001</v>
      </c>
      <c r="D30" s="13" t="n">
        <v>652.8</v>
      </c>
      <c r="E30" t="inlineStr">
        <is>
          <t>lf</t>
        </is>
      </c>
      <c r="I30" s="15" t="n">
        <v>3847686.155</v>
      </c>
      <c r="J30" s="13" t="n">
        <v>2531.81852559195</v>
      </c>
      <c r="K30" s="1" t="inlineStr">
        <is>
          <t>st1 (evoh, ethyle gly) +lf</t>
        </is>
      </c>
      <c r="O30" s="15" t="n">
        <v>3749373.472</v>
      </c>
      <c r="P30" s="13" t="n">
        <v>2747.17296455362</v>
      </c>
      <c r="Q30" t="inlineStr">
        <is>
          <t>st1(evoh pyri)+lf</t>
        </is>
      </c>
      <c r="R30" s="13" t="n">
        <v>0.664530990241095</v>
      </c>
    </row>
    <row r="31" ht="19" customHeight="1">
      <c r="C31" s="13" t="n">
        <v>-62687.92001</v>
      </c>
      <c r="D31" s="13" t="n">
        <v>652.8</v>
      </c>
      <c r="I31" s="13" t="n">
        <v>-62687.92</v>
      </c>
      <c r="J31" s="13" t="n">
        <v>652.8</v>
      </c>
      <c r="K31" s="1" t="inlineStr">
        <is>
          <t>lf</t>
        </is>
      </c>
      <c r="L31" s="13" t="n">
        <v>0.606023102719542</v>
      </c>
      <c r="O31" s="13" t="n">
        <v>-62687.92</v>
      </c>
      <c r="P31" s="13" t="n">
        <v>652.8</v>
      </c>
      <c r="Q31" t="inlineStr">
        <is>
          <t>lf</t>
        </is>
      </c>
    </row>
    <row r="32" ht="19" customHeight="1">
      <c r="C32" s="13" t="n">
        <v>-62687.92001</v>
      </c>
      <c r="D32" s="13" t="n">
        <v>652.8</v>
      </c>
      <c r="I32" s="13" t="n">
        <v>-62687.92</v>
      </c>
      <c r="J32" s="13" t="n">
        <v>652.8</v>
      </c>
      <c r="K32" s="1" t="inlineStr">
        <is>
          <t>lf</t>
        </is>
      </c>
      <c r="O32" s="13" t="n">
        <v>-62687.92</v>
      </c>
      <c r="P32" s="13" t="n">
        <v>652.8</v>
      </c>
      <c r="R32" s="13" t="n">
        <v>0.606023102719542</v>
      </c>
    </row>
    <row r="35">
      <c r="C35" t="inlineStr">
        <is>
          <t>cost</t>
        </is>
      </c>
      <c r="D35" t="inlineStr">
        <is>
          <t>CE</t>
        </is>
      </c>
      <c r="U35" t="inlineStr">
        <is>
          <t>Scenario 1</t>
        </is>
      </c>
      <c r="V35" t="inlineStr">
        <is>
          <t>Scenario 2</t>
        </is>
      </c>
      <c r="W35" t="inlineStr">
        <is>
          <t>Scenario 3</t>
        </is>
      </c>
    </row>
    <row r="36" ht="19" customHeight="1">
      <c r="C36" s="15" t="n">
        <v>7481215.391</v>
      </c>
      <c r="D36" s="13" t="n">
        <v>0.6508597415203879</v>
      </c>
      <c r="T36" t="inlineStr">
        <is>
          <t>UB_energy</t>
        </is>
      </c>
      <c r="U36" s="33" t="n">
        <v>59042878.2392228</v>
      </c>
      <c r="V36" s="38" t="n">
        <v>62345860.1592228</v>
      </c>
      <c r="W36" s="15" t="n">
        <v>54868324.1592228</v>
      </c>
    </row>
    <row r="37" ht="19" customHeight="1">
      <c r="C37" s="15" t="n">
        <v>7481215.391</v>
      </c>
      <c r="D37" s="13" t="n">
        <v>0.6508597415205341</v>
      </c>
      <c r="T37" t="inlineStr">
        <is>
          <t>UB_ghg</t>
        </is>
      </c>
      <c r="U37" s="38" t="n">
        <v>20157.8413701789</v>
      </c>
      <c r="V37" s="34" t="n">
        <v>16149.4821482391</v>
      </c>
      <c r="W37" s="15" t="n">
        <v>17297.1115805058</v>
      </c>
    </row>
    <row r="38" ht="19" customHeight="1">
      <c r="C38" s="15" t="n">
        <v>7481215.391</v>
      </c>
      <c r="D38" s="13" t="n">
        <v>0.6508597415205341</v>
      </c>
      <c r="T38" t="inlineStr">
        <is>
          <t>UB_withdrawal</t>
        </is>
      </c>
      <c r="U38" s="37" t="n">
        <v>12843.7963634733</v>
      </c>
      <c r="V38" s="33" t="n">
        <v>12259.5445063305</v>
      </c>
      <c r="W38" s="36" t="n">
        <v>12369.2085539495</v>
      </c>
    </row>
    <row r="39" ht="19" customHeight="1">
      <c r="C39" s="15" t="n">
        <v>7481215.391</v>
      </c>
      <c r="D39" s="13" t="n">
        <v>0.6508597415205341</v>
      </c>
      <c r="T39" t="inlineStr">
        <is>
          <t>UB_waste</t>
        </is>
      </c>
      <c r="U39" s="38" t="n">
        <v>1916345.71298879</v>
      </c>
      <c r="V39" s="33" t="n">
        <v>1916345.71298879</v>
      </c>
      <c r="W39" s="15" t="n">
        <v>1916345.71298879</v>
      </c>
    </row>
    <row r="40" ht="19" customHeight="1">
      <c r="C40" s="15" t="n">
        <v>7481215.391</v>
      </c>
      <c r="D40" s="13" t="n">
        <v>0.6508597415205341</v>
      </c>
    </row>
    <row r="41" ht="19" customHeight="1">
      <c r="C41" s="15" t="n">
        <v>7481215.391</v>
      </c>
      <c r="D41" s="13" t="n">
        <v>0.6508597415205341</v>
      </c>
      <c r="E41" t="inlineStr">
        <is>
          <t>st1(evoh ethylene glycol)+st2(Pe tetra)+we</t>
        </is>
      </c>
    </row>
    <row r="42" ht="19" customHeight="1">
      <c r="C42" s="15" t="n">
        <v>7472476.7995</v>
      </c>
      <c r="D42" s="13" t="n">
        <v>0.658895121087173</v>
      </c>
      <c r="E42" t="inlineStr">
        <is>
          <t>st1(evoh pyridazine)+st2(Pe tetra)+we</t>
        </is>
      </c>
    </row>
    <row r="43" ht="19" customHeight="1">
      <c r="C43" s="15" t="n">
        <v>7170857.015</v>
      </c>
      <c r="D43" s="13" t="n">
        <v>0.666828877229293</v>
      </c>
      <c r="E43" s="13" t="inlineStr">
        <is>
          <t>st1(evoh ethylene glycol)+st2(Pe tetra)+lf</t>
        </is>
      </c>
    </row>
    <row r="44" ht="19" customHeight="1">
      <c r="C44" s="15" t="n">
        <v>7162118.4235</v>
      </c>
      <c r="D44" s="13" t="n">
        <v>0.674862365208262</v>
      </c>
      <c r="G44" s="44" t="n"/>
    </row>
    <row r="45" ht="19" customHeight="1">
      <c r="C45" s="15" t="n">
        <v>7162118.4235</v>
      </c>
      <c r="D45" s="13" t="n">
        <v>0.674862365208267</v>
      </c>
      <c r="E45" s="13" t="inlineStr">
        <is>
          <t>st1(evoh pyridazine)+st2(Pe tetra)+lf</t>
        </is>
      </c>
      <c r="G45" s="44" t="n"/>
    </row>
    <row r="47" ht="19" customHeight="1">
      <c r="E47" s="15" t="n"/>
    </row>
    <row r="49" ht="19" customHeight="1">
      <c r="C49" t="inlineStr">
        <is>
          <t>emissions</t>
        </is>
      </c>
      <c r="D49" t="inlineStr">
        <is>
          <t>ce</t>
        </is>
      </c>
      <c r="E49" s="15" t="n"/>
    </row>
    <row r="50" ht="19" customHeight="1">
      <c r="C50" s="13" t="n">
        <v>652.8</v>
      </c>
      <c r="D50" s="13" t="n">
        <v>0.606683018608161</v>
      </c>
      <c r="E50" s="4" t="n"/>
    </row>
    <row r="51" ht="19" customHeight="1">
      <c r="C51" s="13" t="n">
        <v>4317.38277977194</v>
      </c>
      <c r="D51" s="13" t="n">
        <v>0.638032250183895</v>
      </c>
      <c r="E51" s="15" t="n"/>
    </row>
    <row r="52" ht="19" customHeight="1">
      <c r="C52" s="13" t="n">
        <v>4317.38277977194</v>
      </c>
      <c r="D52" s="13" t="n">
        <v>0.638032250183895</v>
      </c>
    </row>
    <row r="53" ht="19" customHeight="1">
      <c r="C53" s="13" t="n">
        <v>4317.38277977194</v>
      </c>
      <c r="D53" s="13" t="n">
        <v>0.638032250183895</v>
      </c>
      <c r="E53" s="15" t="n"/>
    </row>
    <row r="54" ht="19" customHeight="1">
      <c r="C54" s="13" t="n">
        <v>4317.38277977194</v>
      </c>
      <c r="D54" s="13" t="n">
        <v>0.638032250183895</v>
      </c>
    </row>
    <row r="55" ht="19" customHeight="1">
      <c r="C55" s="13" t="n">
        <v>9031.054853580261</v>
      </c>
      <c r="D55" s="13" t="n">
        <v>0.674862365208269</v>
      </c>
    </row>
    <row r="56" ht="19" customHeight="1">
      <c r="C56" s="13" t="n">
        <v>9031.054853580339</v>
      </c>
      <c r="D56" s="13" t="n">
        <v>0.674862365208267</v>
      </c>
    </row>
    <row r="57" ht="19" customHeight="1">
      <c r="C57" s="13" t="n">
        <v>9031.054853580339</v>
      </c>
      <c r="D57" s="13" t="n">
        <v>0.674862365208267</v>
      </c>
      <c r="H57" s="44" t="inlineStr">
        <is>
          <t xml:space="preserve">Original Profit vs CE Pareto front </t>
        </is>
      </c>
      <c r="N57" s="44" t="inlineStr">
        <is>
          <t xml:space="preserve">Original Profit vs CE Pareto front </t>
        </is>
      </c>
    </row>
    <row r="58" ht="19" customHeight="1">
      <c r="C58" s="13" t="n">
        <v>9031.054853580339</v>
      </c>
      <c r="D58" s="13" t="n">
        <v>0.674862365208267</v>
      </c>
    </row>
    <row r="59" ht="19" customHeight="1">
      <c r="C59" s="13" t="n">
        <v>9031.054853580339</v>
      </c>
      <c r="D59" s="13" t="n">
        <v>0.674862365208267</v>
      </c>
      <c r="I59" t="inlineStr">
        <is>
          <t>Cost</t>
        </is>
      </c>
      <c r="J59" t="inlineStr">
        <is>
          <t>CE</t>
        </is>
      </c>
      <c r="K59" t="inlineStr">
        <is>
          <t>Solution</t>
        </is>
      </c>
      <c r="N59" t="inlineStr">
        <is>
          <t>Cost</t>
        </is>
      </c>
      <c r="O59" t="inlineStr">
        <is>
          <t>CE</t>
        </is>
      </c>
      <c r="P59" t="inlineStr">
        <is>
          <t>Solution</t>
        </is>
      </c>
    </row>
    <row r="60" ht="19" customHeight="1">
      <c r="I60" s="15" t="n">
        <v>8482658.7755</v>
      </c>
      <c r="J60" s="13" t="n">
        <v>0.691030649511772</v>
      </c>
      <c r="K60" s="1" t="n"/>
      <c r="N60" s="15" t="n">
        <v>8187132.29299999</v>
      </c>
      <c r="O60" s="13" t="n">
        <v>0.694888747157751</v>
      </c>
    </row>
    <row r="61" ht="19" customHeight="1">
      <c r="I61" s="15" t="n">
        <v>8482658.7755</v>
      </c>
      <c r="J61" s="13" t="n">
        <v>0.691030649511771</v>
      </c>
      <c r="N61" s="15" t="n">
        <v>8187132.29299999</v>
      </c>
      <c r="O61" s="13" t="n">
        <v>0.694888747157847</v>
      </c>
    </row>
    <row r="62" ht="19" customHeight="1">
      <c r="I62" s="15" t="n">
        <v>8482658.7755</v>
      </c>
      <c r="J62" s="13" t="n">
        <v>0.691030649511771</v>
      </c>
      <c r="N62" s="15" t="n">
        <v>8187132.29299999</v>
      </c>
      <c r="O62" s="13" t="n">
        <v>0.694888747157847</v>
      </c>
    </row>
    <row r="63" ht="19" customHeight="1">
      <c r="I63" s="15" t="n">
        <v>8482658.7755</v>
      </c>
      <c r="J63" s="13" t="n">
        <v>0.691030649511771</v>
      </c>
      <c r="N63" s="15" t="n">
        <v>8187132.29299999</v>
      </c>
      <c r="O63" s="13" t="n">
        <v>0.694888747157847</v>
      </c>
    </row>
    <row r="64" ht="19" customHeight="1">
      <c r="I64" s="15" t="n">
        <v>8482658.7755</v>
      </c>
      <c r="J64" s="13" t="n">
        <v>0.691030649511771</v>
      </c>
      <c r="N64" s="15" t="n">
        <v>8187132.29299999</v>
      </c>
      <c r="O64" s="13" t="n">
        <v>0.694888747157847</v>
      </c>
    </row>
    <row r="65" ht="19" customHeight="1">
      <c r="I65" s="15" t="n">
        <v>8482658.7755</v>
      </c>
      <c r="J65" s="13" t="n">
        <v>0.691030649511771</v>
      </c>
      <c r="N65" s="15" t="n">
        <v>8187132.29299999</v>
      </c>
      <c r="O65" s="13" t="n">
        <v>0.694888747157847</v>
      </c>
    </row>
    <row r="66" ht="19" customHeight="1">
      <c r="I66" s="15" t="n">
        <v>8482658.7755</v>
      </c>
      <c r="J66" s="13" t="n">
        <v>0.691030649511771</v>
      </c>
      <c r="K66" t="inlineStr">
        <is>
          <t>st1(evoh ethylene glycol)+st2(PE tetra)+we</t>
        </is>
      </c>
      <c r="N66" s="15" t="n">
        <v>8187132.29299999</v>
      </c>
      <c r="O66" s="13" t="n">
        <v>0.694888747157847</v>
      </c>
      <c r="P66" t="inlineStr">
        <is>
          <t>st1(evoh pyri)+st2(Pe tetra)+we</t>
        </is>
      </c>
    </row>
    <row r="67" ht="19" customHeight="1">
      <c r="I67" s="15" t="n">
        <v>8447550.377499999</v>
      </c>
      <c r="J67" s="13" t="n">
        <v>0.701245079882213</v>
      </c>
      <c r="K67" t="inlineStr">
        <is>
          <t>st1(evoh pyri)+st2(pe tetra)+we</t>
        </is>
      </c>
      <c r="N67" s="15" t="n">
        <v>7876773.91699999</v>
      </c>
      <c r="O67" s="13" t="n">
        <v>0.710680686597808</v>
      </c>
    </row>
    <row r="68" ht="19" customHeight="1">
      <c r="I68" s="15" t="n">
        <v>8137192.0015</v>
      </c>
      <c r="J68" s="13" t="n">
        <v>0.717104027530357</v>
      </c>
      <c r="K68" t="inlineStr">
        <is>
          <t>st1(evoh pyri)+st2(pe tetra)+lf</t>
        </is>
      </c>
      <c r="N68" s="15" t="n">
        <v>7876773.91699999</v>
      </c>
      <c r="O68" s="13" t="n">
        <v>0.710680686597859</v>
      </c>
      <c r="P68" t="inlineStr">
        <is>
          <t>st1(EVOH pyri)+st2(Pe tetra)+lf</t>
        </is>
      </c>
    </row>
    <row r="69" ht="19" customHeight="1">
      <c r="I69" s="15" t="n">
        <v>6733710.892</v>
      </c>
      <c r="J69" s="13" t="n">
        <v>0.722817092241185</v>
      </c>
      <c r="K69" t="inlineStr">
        <is>
          <t>st1(pe tetra)+st2(evoh pyri)+lf</t>
        </is>
      </c>
      <c r="N69" s="15" t="n">
        <v>4476300.1375</v>
      </c>
      <c r="O69" s="13" t="n">
        <v>0.72363450473005</v>
      </c>
      <c r="P69" t="inlineStr">
        <is>
          <t>st1(Pe tetra)+st2(evoh pyri)+lf</t>
        </is>
      </c>
    </row>
    <row r="70">
      <c r="T70" s="4" t="n"/>
    </row>
    <row r="72">
      <c r="H72" s="44" t="inlineStr">
        <is>
          <t>Original Emissions vs CE</t>
        </is>
      </c>
      <c r="N72" s="44" t="inlineStr">
        <is>
          <t>Original Emissions vs CE</t>
        </is>
      </c>
    </row>
    <row r="74">
      <c r="I74" t="inlineStr">
        <is>
          <t>Emissions</t>
        </is>
      </c>
      <c r="J74" t="inlineStr">
        <is>
          <t>CE</t>
        </is>
      </c>
      <c r="K74" t="inlineStr">
        <is>
          <t>Solution</t>
        </is>
      </c>
      <c r="O74" t="inlineStr">
        <is>
          <t>Emissions</t>
        </is>
      </c>
      <c r="P74" t="inlineStr">
        <is>
          <t>CE</t>
        </is>
      </c>
      <c r="Q74" t="inlineStr">
        <is>
          <t>Solution</t>
        </is>
      </c>
    </row>
    <row r="75" ht="19" customHeight="1">
      <c r="I75" s="13" t="n">
        <v>2357.97815436728</v>
      </c>
      <c r="J75" s="13" t="n">
        <v>0.6585501201356621</v>
      </c>
      <c r="K75" t="inlineStr">
        <is>
          <t>st1(evoh pyri)+lf</t>
        </is>
      </c>
      <c r="O75" s="13" t="n">
        <v>2747.17296455362</v>
      </c>
      <c r="P75" s="13" t="n">
        <v>0.664530989607046</v>
      </c>
    </row>
    <row r="76" ht="19" customHeight="1">
      <c r="I76" s="13" t="n">
        <v>2357.97815436728</v>
      </c>
      <c r="J76" s="13" t="n">
        <v>0.658550120135721</v>
      </c>
      <c r="O76" s="13" t="n">
        <v>2747.17296455362</v>
      </c>
      <c r="P76" s="13" t="n">
        <v>0.66453098960711</v>
      </c>
    </row>
    <row r="77" ht="19" customHeight="1">
      <c r="I77" s="13" t="n">
        <v>2357.97815436728</v>
      </c>
      <c r="J77" s="13" t="n">
        <v>0.658550120135721</v>
      </c>
      <c r="O77" s="13" t="n">
        <v>2747.17296455362</v>
      </c>
      <c r="P77" s="13" t="n">
        <v>0.66453098960711</v>
      </c>
    </row>
    <row r="78" ht="19" customHeight="1">
      <c r="I78" s="13" t="n">
        <v>2357.97815436728</v>
      </c>
      <c r="J78" s="13" t="n">
        <v>0.658550120135721</v>
      </c>
      <c r="O78" s="13" t="n">
        <v>2747.17296455362</v>
      </c>
      <c r="P78" s="13" t="n">
        <v>0.66453098960711</v>
      </c>
    </row>
    <row r="79" ht="19" customHeight="1">
      <c r="I79" s="13" t="n">
        <v>2357.97815436728</v>
      </c>
      <c r="J79" s="13" t="n">
        <v>0.658550120135721</v>
      </c>
      <c r="O79" s="13" t="n">
        <v>2747.17296455362</v>
      </c>
      <c r="P79" s="13" t="n">
        <v>0.66453098960711</v>
      </c>
      <c r="Q79" t="inlineStr">
        <is>
          <t>st1(EVOH pyri)+lf</t>
        </is>
      </c>
    </row>
    <row r="80" ht="19" customHeight="1">
      <c r="I80" s="13" t="n">
        <v>5937.76868679796</v>
      </c>
      <c r="J80" s="13" t="n">
        <v>0.72281709224118</v>
      </c>
      <c r="K80" s="46" t="inlineStr">
        <is>
          <t>st1(pe tetra)+st2(evoh pyri)+lf</t>
        </is>
      </c>
      <c r="O80" s="13" t="n">
        <v>6607.94216868503</v>
      </c>
      <c r="P80" s="13" t="n">
        <v>0.723634505269923</v>
      </c>
    </row>
    <row r="81" ht="19" customHeight="1">
      <c r="I81" s="13" t="n">
        <v>5937.76868679808</v>
      </c>
      <c r="J81" s="13" t="n">
        <v>0.722817092241185</v>
      </c>
      <c r="O81" s="13" t="n">
        <v>6607.94216868503</v>
      </c>
      <c r="P81" s="13" t="n">
        <v>0.723634505269923</v>
      </c>
    </row>
    <row r="82" ht="19" customHeight="1">
      <c r="I82" s="13" t="n">
        <v>5937.76868679808</v>
      </c>
      <c r="J82" s="13" t="n">
        <v>0.722817092241185</v>
      </c>
      <c r="O82" s="13" t="n">
        <v>6607.94216868503</v>
      </c>
      <c r="P82" s="13" t="n">
        <v>0.723634505269923</v>
      </c>
    </row>
    <row r="83" ht="19" customHeight="1">
      <c r="I83" s="13" t="n">
        <v>5937.76868679808</v>
      </c>
      <c r="J83" s="13" t="n">
        <v>0.722817092241185</v>
      </c>
      <c r="O83" s="13" t="n">
        <v>6607.94216868503</v>
      </c>
      <c r="P83" s="13" t="n">
        <v>0.723634505269923</v>
      </c>
    </row>
    <row r="84" ht="19" customHeight="1">
      <c r="I84" s="13" t="n">
        <v>5937.76868679808</v>
      </c>
      <c r="J84" s="13" t="n">
        <v>0.722817092241185</v>
      </c>
      <c r="O84" s="13" t="n">
        <v>6607.94216868503</v>
      </c>
      <c r="P84" s="13" t="n">
        <v>0.723634505269923</v>
      </c>
      <c r="Q84" t="inlineStr">
        <is>
          <t>st1(Pe tetra)+st2(evoh pyri)+lf</t>
        </is>
      </c>
    </row>
    <row r="86">
      <c r="C86" s="39" t="n"/>
      <c r="D86" s="39" t="n"/>
      <c r="E86" s="39" t="n"/>
      <c r="F86" s="39" t="n"/>
    </row>
    <row r="87">
      <c r="C87" s="39" t="n"/>
      <c r="D87" s="39" t="n"/>
      <c r="E87" s="39" t="n"/>
      <c r="F87" s="39" t="n"/>
    </row>
    <row r="88">
      <c r="C88" s="39" t="n"/>
      <c r="D88" s="39" t="n"/>
      <c r="E88" s="39" t="n"/>
      <c r="F88" s="39" t="n"/>
    </row>
    <row r="89">
      <c r="C89" s="39" t="n"/>
      <c r="D89" s="39" t="n"/>
      <c r="E89" s="39" t="n"/>
      <c r="F89" s="39" t="n"/>
    </row>
    <row r="90">
      <c r="C90" s="39" t="n"/>
      <c r="D90" s="39" t="n"/>
      <c r="E90" s="39" t="n"/>
      <c r="F90" s="39" t="n"/>
    </row>
    <row r="93" ht="19" customHeight="1">
      <c r="D93" s="13" t="n"/>
      <c r="E93" s="15" t="n"/>
    </row>
    <row r="94" ht="19" customHeight="1">
      <c r="D94" s="13" t="n"/>
      <c r="E94" s="15" t="n"/>
    </row>
    <row r="95" ht="19" customHeight="1">
      <c r="D95" s="13" t="n"/>
      <c r="E95" s="15" t="n"/>
    </row>
    <row r="96" ht="19" customHeight="1">
      <c r="D96" s="13" t="n"/>
      <c r="E96" s="15" t="n"/>
    </row>
    <row r="97" ht="19" customHeight="1">
      <c r="D97" s="13" t="n"/>
      <c r="E97" s="15" t="n"/>
    </row>
    <row r="98" ht="19" customHeight="1">
      <c r="D98" s="13" t="n"/>
      <c r="E98" s="15" t="n"/>
    </row>
    <row r="99" ht="19" customHeight="1">
      <c r="D99" s="13" t="n"/>
      <c r="E99" s="15" t="n"/>
    </row>
    <row r="100" ht="19" customHeight="1">
      <c r="D100" s="13" t="n"/>
      <c r="E100" s="15" t="n"/>
    </row>
    <row r="101" ht="19" customHeight="1">
      <c r="D101" s="13" t="n"/>
      <c r="E101" s="15" t="n"/>
    </row>
    <row r="102" ht="19" customHeight="1">
      <c r="D102" s="13" t="n"/>
      <c r="E102" s="15" t="n"/>
    </row>
    <row r="130" ht="19" customHeight="1">
      <c r="D130" s="13" t="n"/>
      <c r="E130" s="13" t="n"/>
    </row>
    <row r="131" ht="19" customHeight="1">
      <c r="D131" s="13" t="n"/>
      <c r="E131" s="13" t="n"/>
    </row>
    <row r="132" ht="19" customHeight="1">
      <c r="D132" s="13" t="n"/>
      <c r="E132" s="13" t="n"/>
    </row>
    <row r="133" ht="19" customHeight="1">
      <c r="D133" s="13" t="n"/>
      <c r="E133" s="13" t="n"/>
    </row>
    <row r="134" ht="19" customHeight="1">
      <c r="D134" s="13" t="n"/>
      <c r="E134" s="13" t="n"/>
    </row>
    <row r="135" ht="19" customHeight="1">
      <c r="D135" s="13" t="n"/>
      <c r="E135" s="13" t="n"/>
    </row>
    <row r="136" ht="19" customHeight="1">
      <c r="D136" s="13" t="n"/>
      <c r="E136" s="13" t="n"/>
    </row>
    <row r="137" ht="19" customHeight="1">
      <c r="D137" s="13" t="n"/>
      <c r="E137" s="13" t="n"/>
    </row>
    <row r="138" ht="19" customHeight="1">
      <c r="D138" s="13" t="n"/>
      <c r="E138" s="13" t="n"/>
    </row>
    <row r="139" ht="19" customHeight="1">
      <c r="D139" s="13" t="n"/>
      <c r="E139" s="13" t="n"/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39"/>
  <sheetViews>
    <sheetView topLeftCell="A80" zoomScale="59" workbookViewId="0">
      <selection activeCell="H3" sqref="H3:K7"/>
    </sheetView>
  </sheetViews>
  <sheetFormatPr baseColWidth="10" defaultRowHeight="16"/>
  <cols>
    <col width="17.6640625" customWidth="1" min="2" max="2"/>
    <col width="19.1640625" customWidth="1" min="3" max="3"/>
    <col width="23.6640625" customWidth="1" min="4" max="4"/>
    <col width="18.83203125" customWidth="1" min="5" max="5"/>
    <col width="36.33203125" customWidth="1" min="7" max="7"/>
    <col width="10.83203125" customWidth="1" style="44" min="8" max="8"/>
    <col width="23" customWidth="1" min="9" max="9"/>
    <col width="13.5" bestFit="1" customWidth="1" min="10" max="10"/>
    <col width="28.6640625" customWidth="1" min="11" max="11"/>
    <col width="11" bestFit="1" customWidth="1" min="12" max="12"/>
    <col width="16.6640625" customWidth="1" style="44" min="14" max="14"/>
    <col width="17" customWidth="1" min="15" max="15"/>
    <col width="13.5" bestFit="1" customWidth="1" min="16" max="16"/>
    <col width="17.83203125" customWidth="1" min="17" max="17"/>
    <col width="13.6640625" customWidth="1" min="18" max="18"/>
    <col width="21.1640625" customWidth="1" min="19" max="20"/>
    <col width="18.83203125" customWidth="1" min="21" max="21"/>
    <col width="19.6640625" customWidth="1" min="22" max="22"/>
    <col width="17.1640625" customWidth="1" min="23" max="23"/>
    <col width="14" customWidth="1" min="24" max="24"/>
    <col width="22.5" bestFit="1" customWidth="1" min="25" max="25"/>
    <col width="15" customWidth="1" min="26" max="26"/>
    <col width="11.1640625" bestFit="1" customWidth="1" min="28" max="28"/>
    <col width="19.33203125" bestFit="1" customWidth="1" min="30" max="30"/>
    <col width="14.83203125" bestFit="1" customWidth="1" min="33" max="33"/>
    <col width="18.83203125" bestFit="1" customWidth="1" min="34" max="34"/>
  </cols>
  <sheetData>
    <row r="1">
      <c r="B1" s="26" t="n">
        <v>45958</v>
      </c>
      <c r="V1" s="25" t="inlineStr">
        <is>
          <t>case 1</t>
        </is>
      </c>
      <c r="W1" s="25" t="n"/>
      <c r="X1" s="25" t="n"/>
      <c r="Y1" s="25" t="n"/>
      <c r="AF1" s="25" t="inlineStr">
        <is>
          <t>case 1</t>
        </is>
      </c>
      <c r="AG1" s="25" t="n"/>
      <c r="AH1" s="25" t="n"/>
      <c r="AI1" s="25" t="n"/>
    </row>
    <row r="2">
      <c r="B2" t="inlineStr">
        <is>
          <t>CASE 1</t>
        </is>
      </c>
      <c r="I2" t="inlineStr">
        <is>
          <t>CASE 2</t>
        </is>
      </c>
      <c r="J2" s="41" t="n"/>
      <c r="O2" t="inlineStr">
        <is>
          <t>CASE 3</t>
        </is>
      </c>
      <c r="P2" s="41" t="n"/>
    </row>
    <row r="3">
      <c r="B3" s="19" t="inlineStr">
        <is>
          <t>Max Profit</t>
        </is>
      </c>
      <c r="C3" s="19" t="inlineStr">
        <is>
          <t>Min Emissions</t>
        </is>
      </c>
      <c r="D3" s="19" t="inlineStr">
        <is>
          <t>Max CE</t>
        </is>
      </c>
      <c r="I3" s="19" t="inlineStr">
        <is>
          <t>Max Profit</t>
        </is>
      </c>
      <c r="J3" s="42" t="inlineStr">
        <is>
          <t>Min Emissions</t>
        </is>
      </c>
      <c r="K3" s="19" t="inlineStr">
        <is>
          <t>Max CE (w Emissions and Profit)</t>
        </is>
      </c>
      <c r="L3" s="30" t="n"/>
      <c r="M3" s="30" t="n"/>
      <c r="O3" s="19" t="inlineStr">
        <is>
          <t>Max Profit</t>
        </is>
      </c>
      <c r="P3" s="42" t="inlineStr">
        <is>
          <t>Min Emissions</t>
        </is>
      </c>
      <c r="Q3" s="19" t="inlineStr">
        <is>
          <t>Max CE (w Emissions and Profit)</t>
        </is>
      </c>
      <c r="W3" s="19" t="inlineStr">
        <is>
          <t>Max Profit</t>
        </is>
      </c>
      <c r="X3" s="19" t="inlineStr">
        <is>
          <t>Min Emissions</t>
        </is>
      </c>
      <c r="Y3" s="19" t="inlineStr">
        <is>
          <t>Min CE</t>
        </is>
      </c>
      <c r="AG3" s="19" t="inlineStr">
        <is>
          <t>Max Profit</t>
        </is>
      </c>
      <c r="AH3" s="19" t="inlineStr">
        <is>
          <t>Min Emissions</t>
        </is>
      </c>
      <c r="AI3" s="19" t="inlineStr">
        <is>
          <t>Max CE</t>
        </is>
      </c>
    </row>
    <row r="4" ht="19" customHeight="1">
      <c r="A4" s="20" t="inlineStr">
        <is>
          <t>Profit</t>
        </is>
      </c>
      <c r="B4" s="15" t="n">
        <v>7481215.39099999</v>
      </c>
      <c r="C4" s="13" t="n">
        <v>-62687.92</v>
      </c>
      <c r="D4" s="50" t="n">
        <v>4381833.95900134</v>
      </c>
      <c r="H4" s="20" t="inlineStr">
        <is>
          <t>Profit</t>
        </is>
      </c>
      <c r="I4" s="15" t="n">
        <v>8482658.7755</v>
      </c>
      <c r="J4" s="40" t="n">
        <v>-62687.92</v>
      </c>
      <c r="K4" s="15" t="n">
        <v>6733710.892</v>
      </c>
      <c r="L4" s="15" t="n"/>
      <c r="M4" s="15" t="n"/>
      <c r="N4" s="20" t="inlineStr">
        <is>
          <t>Profit</t>
        </is>
      </c>
      <c r="O4" s="15" t="n">
        <v>8187130</v>
      </c>
      <c r="P4" s="40" t="n">
        <v>-62687.92</v>
      </c>
      <c r="Q4" s="15" t="n">
        <v>4476300.1375</v>
      </c>
      <c r="V4" s="19" t="inlineStr">
        <is>
          <t>Profit</t>
        </is>
      </c>
      <c r="W4" s="16" t="n">
        <v>2860480</v>
      </c>
      <c r="X4" s="16" t="n">
        <v>-53190402.137053</v>
      </c>
      <c r="Y4" s="17" t="n">
        <v>971840</v>
      </c>
      <c r="AB4">
        <f>Y4/8000</f>
        <v/>
      </c>
      <c r="AF4" s="19" t="inlineStr">
        <is>
          <t>Profit</t>
        </is>
      </c>
      <c r="AG4" s="23" t="n">
        <v>971840</v>
      </c>
      <c r="AH4" s="22" t="n">
        <v>-53190402.137053</v>
      </c>
      <c r="AI4" s="17" t="n">
        <v>971840</v>
      </c>
    </row>
    <row r="5" ht="19" customHeight="1">
      <c r="A5" s="20" t="inlineStr">
        <is>
          <t>Emissions</t>
        </is>
      </c>
      <c r="B5" s="13" t="n">
        <v>14871.7674444304</v>
      </c>
      <c r="C5" s="13" t="n">
        <v>652.8</v>
      </c>
      <c r="D5" s="47" t="n">
        <v>20865.8627797974</v>
      </c>
      <c r="H5" s="20" t="inlineStr">
        <is>
          <t>Emissions</t>
        </is>
      </c>
      <c r="I5" s="13" t="n">
        <v>11702.9767553408</v>
      </c>
      <c r="J5" s="40" t="n">
        <v>652.8</v>
      </c>
      <c r="K5" s="13" t="n">
        <v>5937.76868679808</v>
      </c>
      <c r="L5" s="13" t="n"/>
      <c r="M5" s="13" t="n"/>
      <c r="N5" s="20" t="inlineStr">
        <is>
          <t>Emissions</t>
        </is>
      </c>
      <c r="O5" s="13" t="n">
        <v>12913.3038470005</v>
      </c>
      <c r="P5" s="40" t="n">
        <v>652.8</v>
      </c>
      <c r="Q5" s="13" t="n">
        <v>6607.94216868503</v>
      </c>
      <c r="V5" s="19" t="inlineStr">
        <is>
          <t>Emissions</t>
        </is>
      </c>
      <c r="W5" s="17" t="n">
        <v>78022.0071024007</v>
      </c>
      <c r="X5" s="17" t="n">
        <v>74620.5234769439</v>
      </c>
      <c r="Y5" s="17" t="n">
        <v>87362.6606971719</v>
      </c>
      <c r="AF5" s="19" t="inlineStr">
        <is>
          <t>Emissions</t>
        </is>
      </c>
      <c r="AG5" s="13" t="n">
        <v>87362.6606971719</v>
      </c>
      <c r="AH5" s="13" t="n">
        <v>74620.5234769439</v>
      </c>
      <c r="AI5" s="17" t="n">
        <v>87362.6606971719</v>
      </c>
    </row>
    <row r="6" ht="19" customHeight="1">
      <c r="A6" s="20" t="inlineStr">
        <is>
          <t>CE</t>
        </is>
      </c>
      <c r="B6" s="47" t="n">
        <v>0.555963914291727</v>
      </c>
      <c r="C6" s="47" t="n">
        <v>0.499450568041757</v>
      </c>
      <c r="D6" s="47" t="n">
        <v>0.584831106164004</v>
      </c>
      <c r="H6" s="20" t="inlineStr">
        <is>
          <t>CE</t>
        </is>
      </c>
      <c r="I6" s="13" t="n">
        <v>0.691030649511771</v>
      </c>
      <c r="J6" s="13" t="n">
        <v>0.606682966425623</v>
      </c>
      <c r="K6" s="13" t="n">
        <v>0.722817092241165</v>
      </c>
      <c r="L6" s="13" t="n"/>
      <c r="M6" s="13" t="n"/>
      <c r="N6" s="20" t="inlineStr">
        <is>
          <t>CE</t>
        </is>
      </c>
      <c r="O6" s="13" t="n">
        <v>0.694888747157844</v>
      </c>
      <c r="P6" s="13" t="n">
        <v>0.606682966425623</v>
      </c>
      <c r="Q6" s="13" t="n">
        <v>0.7236345052698649</v>
      </c>
      <c r="V6" s="20" t="inlineStr">
        <is>
          <t>CE</t>
        </is>
      </c>
      <c r="W6" s="17" t="n">
        <v>0.417805273964287</v>
      </c>
      <c r="X6" s="17" t="n">
        <v>0.399750893420699</v>
      </c>
      <c r="Y6" s="17" t="n">
        <v>0.72104468275865</v>
      </c>
      <c r="AF6" s="20" t="inlineStr">
        <is>
          <t>CE</t>
        </is>
      </c>
      <c r="AG6" s="13" t="n">
        <v>0.721044682756524</v>
      </c>
      <c r="AH6" s="13" t="n">
        <v>0.399750893420699</v>
      </c>
      <c r="AI6" s="17" t="n">
        <v>0.72104468275865</v>
      </c>
    </row>
    <row r="7">
      <c r="B7" s="48" t="inlineStr">
        <is>
          <t>Strap1+2 +we</t>
        </is>
      </c>
      <c r="C7" s="48" t="inlineStr">
        <is>
          <t xml:space="preserve">landfill </t>
        </is>
      </c>
      <c r="D7" s="48" t="inlineStr">
        <is>
          <t>st1+we</t>
        </is>
      </c>
      <c r="I7" s="18" t="inlineStr">
        <is>
          <t>Strap1+2 +we</t>
        </is>
      </c>
      <c r="J7" s="43" t="inlineStr">
        <is>
          <t xml:space="preserve">landfill </t>
        </is>
      </c>
      <c r="K7" s="18" t="inlineStr">
        <is>
          <t>st1+St2+lf</t>
        </is>
      </c>
      <c r="O7" s="18" t="inlineStr">
        <is>
          <t>Strap1+2 +we</t>
        </is>
      </c>
      <c r="P7" s="43" t="inlineStr">
        <is>
          <t xml:space="preserve">landfill </t>
        </is>
      </c>
      <c r="Q7" s="18" t="inlineStr">
        <is>
          <t>st1+st2+lf</t>
        </is>
      </c>
      <c r="W7" s="18" t="inlineStr">
        <is>
          <t>Stage 1: Gas_H2cc</t>
        </is>
      </c>
      <c r="X7" s="18" t="inlineStr">
        <is>
          <t>stage 3: strap1+2+gas_er</t>
        </is>
      </c>
      <c r="Y7" s="18" t="inlineStr">
        <is>
          <t>stage 1: we</t>
        </is>
      </c>
      <c r="AG7" s="18" t="inlineStr">
        <is>
          <t>Stage 1: we</t>
        </is>
      </c>
      <c r="AH7" s="18" t="inlineStr">
        <is>
          <t>stage 3: strap1+2+gas_er</t>
        </is>
      </c>
      <c r="AI7" s="18" t="inlineStr">
        <is>
          <t>stage 1: we</t>
        </is>
      </c>
    </row>
    <row r="8">
      <c r="B8" s="49" t="n"/>
      <c r="C8" s="49" t="n"/>
      <c r="D8" s="49" t="n"/>
      <c r="J8" s="41" t="n"/>
      <c r="P8" s="41" t="n"/>
    </row>
    <row r="9">
      <c r="B9" s="49" t="inlineStr">
        <is>
          <t>evoh ethylene glycol</t>
        </is>
      </c>
      <c r="C9" s="49" t="n"/>
      <c r="D9" s="49" t="inlineStr">
        <is>
          <t>evoh pyrydazine</t>
        </is>
      </c>
      <c r="I9" t="inlineStr">
        <is>
          <t>evoh ethylene glycol</t>
        </is>
      </c>
      <c r="K9" t="inlineStr">
        <is>
          <t>pe tetra</t>
        </is>
      </c>
      <c r="O9" t="inlineStr">
        <is>
          <t>evoh pyrid</t>
        </is>
      </c>
      <c r="Q9" t="inlineStr">
        <is>
          <t>PE tetra</t>
        </is>
      </c>
    </row>
    <row r="10">
      <c r="B10" s="49" t="inlineStr">
        <is>
          <t>pe tetrachloroethylene</t>
        </is>
      </c>
      <c r="C10" s="49" t="n"/>
      <c r="D10" s="49" t="n"/>
      <c r="I10" t="inlineStr">
        <is>
          <t>pe tetrachloroethylene</t>
        </is>
      </c>
      <c r="K10" t="inlineStr">
        <is>
          <t>evoh pyri</t>
        </is>
      </c>
      <c r="O10" t="inlineStr">
        <is>
          <t>PE tetra</t>
        </is>
      </c>
      <c r="Q10" t="inlineStr">
        <is>
          <t>evoh pyri</t>
        </is>
      </c>
      <c r="V10" t="inlineStr">
        <is>
          <t>emissions/ton</t>
        </is>
      </c>
      <c r="W10">
        <f>W5/8000</f>
        <v/>
      </c>
      <c r="X10">
        <f>X5/8000</f>
        <v/>
      </c>
      <c r="Y10">
        <f>Y5/8000</f>
        <v/>
      </c>
      <c r="AB10" t="inlineStr">
        <is>
          <t>even with 100362.6607 , it starts with emission value of 81106</t>
        </is>
      </c>
      <c r="AF10" t="inlineStr">
        <is>
          <t>emissions/ton</t>
        </is>
      </c>
      <c r="AG10" t="inlineStr">
        <is>
          <t>we</t>
        </is>
      </c>
      <c r="AH10">
        <f>AH5/8000</f>
        <v/>
      </c>
      <c r="AI10">
        <f>AI5/8000</f>
        <v/>
      </c>
    </row>
    <row r="11" ht="19" customHeight="1">
      <c r="K11" t="inlineStr">
        <is>
          <t>lf</t>
        </is>
      </c>
      <c r="P11" s="13" t="n">
        <v>0.606023102719542</v>
      </c>
    </row>
    <row r="12" ht="19" customHeight="1">
      <c r="D12" s="15" t="n">
        <v>7162118.42349995</v>
      </c>
      <c r="AD12">
        <f>81106/8000</f>
        <v/>
      </c>
    </row>
    <row r="13" ht="19" customHeight="1">
      <c r="D13" s="13" t="n">
        <v>9031.054853579521</v>
      </c>
      <c r="V13" s="25" t="inlineStr">
        <is>
          <t>case 2</t>
        </is>
      </c>
      <c r="W13" s="25" t="n"/>
      <c r="X13" s="25" t="n"/>
      <c r="Y13" s="25" t="n"/>
      <c r="AD13" s="22" t="n">
        <v>-15092562.21</v>
      </c>
    </row>
    <row r="14" ht="19" customHeight="1">
      <c r="A14" t="inlineStr">
        <is>
          <t>CE</t>
        </is>
      </c>
      <c r="B14" s="13" t="n">
        <v>0.6508597415203889</v>
      </c>
      <c r="C14" s="13" t="n">
        <v>0.606023050537008</v>
      </c>
      <c r="D14" s="13" t="n">
        <v>0.674862365213808</v>
      </c>
      <c r="E14" s="32" t="inlineStr">
        <is>
          <t>New values with 1.5* mean for UB</t>
        </is>
      </c>
      <c r="AD14">
        <f>AD13/8000</f>
        <v/>
      </c>
    </row>
    <row r="15">
      <c r="B15" s="18">
        <f>B7</f>
        <v/>
      </c>
      <c r="C15" s="18">
        <f>C7</f>
        <v/>
      </c>
      <c r="D15" s="18" t="inlineStr">
        <is>
          <t>st1+st2+lf</t>
        </is>
      </c>
      <c r="E15" s="18" t="n"/>
      <c r="W15" s="19" t="inlineStr">
        <is>
          <t>Max Profit</t>
        </is>
      </c>
      <c r="X15" s="19" t="inlineStr">
        <is>
          <t>Min Emissions</t>
        </is>
      </c>
      <c r="Y15" s="19" t="inlineStr">
        <is>
          <t>Min CE</t>
        </is>
      </c>
      <c r="AD15" t="inlineStr">
        <is>
          <t>strap 1+gash2cc</t>
        </is>
      </c>
    </row>
    <row r="16" ht="19" customHeight="1">
      <c r="B16" s="18" t="n"/>
      <c r="C16" s="18" t="n"/>
      <c r="D16" s="18" t="inlineStr">
        <is>
          <t>evoh pyri</t>
        </is>
      </c>
      <c r="E16" s="18" t="n"/>
      <c r="F16" t="inlineStr">
        <is>
          <t>obtained using: Final model with circularity-Modified scenarios-Copy1_Scenario1w_Circularity</t>
        </is>
      </c>
      <c r="V16" s="19" t="inlineStr">
        <is>
          <t>Profit</t>
        </is>
      </c>
      <c r="W16" s="16" t="n"/>
      <c r="X16" s="16" t="n"/>
      <c r="Y16" s="17" t="n"/>
    </row>
    <row r="17" ht="19" customHeight="1">
      <c r="B17" s="18">
        <f>B9</f>
        <v/>
      </c>
      <c r="C17" s="18" t="n"/>
      <c r="D17" s="18" t="inlineStr">
        <is>
          <t>PE tetra</t>
        </is>
      </c>
      <c r="E17" s="18" t="n"/>
      <c r="F17" t="inlineStr">
        <is>
          <t>I used fixed UB defined by worst of 3 cases</t>
        </is>
      </c>
      <c r="J17" t="inlineStr">
        <is>
          <t>works</t>
        </is>
      </c>
      <c r="V17" s="19" t="inlineStr">
        <is>
          <t>Emissions</t>
        </is>
      </c>
      <c r="W17" s="17" t="n"/>
      <c r="X17" s="17" t="n"/>
      <c r="Y17" s="17" t="n"/>
    </row>
    <row r="18" ht="19" customHeight="1">
      <c r="B18" s="18">
        <f>B10</f>
        <v/>
      </c>
      <c r="C18" s="18" t="n"/>
      <c r="D18" s="18" t="inlineStr">
        <is>
          <t>lf</t>
        </is>
      </c>
      <c r="E18" s="18" t="n"/>
      <c r="J18" t="inlineStr">
        <is>
          <t>evoh pyri,lf</t>
        </is>
      </c>
      <c r="V18" s="20" t="inlineStr">
        <is>
          <t>CE</t>
        </is>
      </c>
      <c r="W18" s="17" t="n"/>
      <c r="X18" s="17" t="n"/>
      <c r="Y18" s="17" t="n"/>
    </row>
    <row r="19">
      <c r="W19" s="18" t="n"/>
      <c r="X19" s="18" t="n"/>
      <c r="Y19" s="18" t="n"/>
    </row>
    <row r="20">
      <c r="I20" t="inlineStr">
        <is>
          <t>Pareto: emissions vs cost</t>
        </is>
      </c>
      <c r="O20" t="inlineStr">
        <is>
          <t>Pareto: emissions vs cost</t>
        </is>
      </c>
    </row>
    <row r="22">
      <c r="C22" t="inlineStr">
        <is>
          <t>cost</t>
        </is>
      </c>
      <c r="D22" t="inlineStr">
        <is>
          <t>emis_arr</t>
        </is>
      </c>
      <c r="I22" t="inlineStr">
        <is>
          <t>Cost</t>
        </is>
      </c>
      <c r="J22" t="inlineStr">
        <is>
          <t>Emissions</t>
        </is>
      </c>
      <c r="K22" t="inlineStr">
        <is>
          <t>Solutions</t>
        </is>
      </c>
      <c r="L22" t="inlineStr">
        <is>
          <t>Calculated circularity</t>
        </is>
      </c>
      <c r="O22" t="inlineStr">
        <is>
          <t>Cost</t>
        </is>
      </c>
      <c r="P22" t="inlineStr">
        <is>
          <t>Emissions</t>
        </is>
      </c>
      <c r="Q22" t="inlineStr">
        <is>
          <t>Solutions</t>
        </is>
      </c>
      <c r="R22" t="inlineStr">
        <is>
          <t>Calculated circularity</t>
        </is>
      </c>
      <c r="V22" s="25" t="inlineStr">
        <is>
          <t>case 3</t>
        </is>
      </c>
      <c r="W22" s="25" t="n"/>
      <c r="X22" s="25" t="n"/>
      <c r="Y22" s="25" t="n"/>
    </row>
    <row r="23" ht="35" customHeight="1">
      <c r="C23" s="15" t="n">
        <v>7472476.79948999</v>
      </c>
      <c r="D23" s="13" t="n">
        <v>14547.2148535803</v>
      </c>
      <c r="E23" t="inlineStr">
        <is>
          <t>st1(evoh pyri)+st2(PE tetra)+we</t>
        </is>
      </c>
      <c r="I23" s="15" t="n">
        <v>8482658.7755</v>
      </c>
      <c r="J23" s="13" t="n">
        <v>11702.9767553408</v>
      </c>
      <c r="K23" s="1" t="inlineStr">
        <is>
          <t>st1 (evoh, ethyle gly)+st2 (Pe tetra) +we</t>
        </is>
      </c>
      <c r="L23" s="13" t="n">
        <v>0.690408106118075</v>
      </c>
      <c r="O23" s="15" t="n">
        <v>8187132.29299999</v>
      </c>
      <c r="P23" s="13" t="n">
        <v>12913.3038470005</v>
      </c>
      <c r="Q23" s="45" t="inlineStr">
        <is>
          <t>st1(evoh pyri)+st2(pe tetra)+we</t>
        </is>
      </c>
      <c r="R23" s="13" t="n">
        <v>0.695568815275271</v>
      </c>
      <c r="AD23" t="inlineStr">
        <is>
          <t>if the price for post-consumer ldpe film is around $0.109/lb, do you think is a good assumption for us to say the mixed waste is $0.05 (this is said to be price for grade b film) ?</t>
        </is>
      </c>
    </row>
    <row r="24" ht="35" customHeight="1">
      <c r="B24" t="n"/>
      <c r="C24" s="15" t="n">
        <v>7453663.39099</v>
      </c>
      <c r="D24" s="13" t="n">
        <v>12069.5713659993</v>
      </c>
      <c r="E24" t="inlineStr">
        <is>
          <t>st1(evoh ethylene glycol)+strap 2( PE tetra)+gas_h2cc</t>
        </is>
      </c>
      <c r="I24" s="15" t="n">
        <v>8455106.7755</v>
      </c>
      <c r="J24" s="13" t="n">
        <v>8900.78067690952</v>
      </c>
      <c r="K24" s="1">
        <f>K25</f>
        <v/>
      </c>
      <c r="L24" s="13" t="n">
        <v>0.530422981624517</v>
      </c>
      <c r="O24" s="15" t="n">
        <v>8159580.29299999</v>
      </c>
      <c r="P24" s="13" t="n">
        <v>10111.1077685692</v>
      </c>
      <c r="W24" s="19" t="inlineStr">
        <is>
          <t>Max Profit</t>
        </is>
      </c>
      <c r="X24" s="19" t="inlineStr">
        <is>
          <t>Min Emissions</t>
        </is>
      </c>
      <c r="Y24" s="19" t="inlineStr">
        <is>
          <t>Min CE</t>
        </is>
      </c>
    </row>
    <row r="25" ht="35" customHeight="1">
      <c r="C25" s="15" t="n">
        <v>7170857.01499</v>
      </c>
      <c r="D25" s="13" t="n">
        <v>9355.60744443066</v>
      </c>
      <c r="E25" t="inlineStr">
        <is>
          <t>st1(evoh ethylene glycol)+strap 2( PE tetra)+lf</t>
        </is>
      </c>
      <c r="I25" s="15" t="n">
        <v>8455106.7755</v>
      </c>
      <c r="J25" s="13" t="n">
        <v>8900.78067690952</v>
      </c>
      <c r="K25" s="1" t="inlineStr">
        <is>
          <t>st1 (evoh, ethyle gly)+st2 (Pe tetra) +gas_h2cc</t>
        </is>
      </c>
      <c r="O25" s="15" t="n">
        <v>8159580.29299999</v>
      </c>
      <c r="P25" s="13" t="n">
        <v>10111.1077685692</v>
      </c>
      <c r="Q25" t="inlineStr">
        <is>
          <t>st1(evoh pyri)+st2(pe tetra)+gas_h2cc</t>
        </is>
      </c>
      <c r="R25" s="13" t="n">
        <v>0.534739133012309</v>
      </c>
      <c r="V25" s="19" t="inlineStr">
        <is>
          <t>Profit</t>
        </is>
      </c>
      <c r="W25" s="16" t="n"/>
      <c r="X25" s="16" t="n"/>
      <c r="Y25" s="17" t="n"/>
      <c r="AD25">
        <f>0.05*2.2*1000</f>
        <v/>
      </c>
      <c r="AE25" t="inlineStr">
        <is>
          <t>given 5 cents/lb</t>
        </is>
      </c>
      <c r="AF25" t="inlineStr">
        <is>
          <t>https://resource-recycling.com/plastics/2025/09/17/plastic-bale-prices-continue-to-fall/</t>
        </is>
      </c>
    </row>
    <row r="26" ht="35" customHeight="1">
      <c r="C26" s="15" t="n">
        <v>7170857.01499</v>
      </c>
      <c r="D26" s="13" t="n">
        <v>9355.60744443066</v>
      </c>
      <c r="I26" s="15" t="n">
        <v>8172300.3995</v>
      </c>
      <c r="J26" s="13" t="n">
        <v>6186.81675534089</v>
      </c>
      <c r="K26" s="1">
        <f>K27</f>
        <v/>
      </c>
      <c r="L26" s="13" t="n">
        <v>0.707134729531691</v>
      </c>
      <c r="O26" s="15" t="n">
        <v>7876773.91699999</v>
      </c>
      <c r="P26" s="13" t="n">
        <v>7397.14384700058</v>
      </c>
      <c r="V26" s="19" t="inlineStr">
        <is>
          <t>Emissions</t>
        </is>
      </c>
      <c r="W26" s="17" t="n"/>
      <c r="X26" s="17" t="n"/>
      <c r="Y26" s="17" t="n"/>
    </row>
    <row r="27" ht="35" customHeight="1">
      <c r="C27" s="15" t="n">
        <v>3459497.42249</v>
      </c>
      <c r="D27" s="13" t="n">
        <v>4641.93537062226</v>
      </c>
      <c r="E27" t="inlineStr">
        <is>
          <t>st1(evoh ethylene glycol)+lf</t>
        </is>
      </c>
      <c r="I27" s="15" t="n">
        <v>8172300.3995</v>
      </c>
      <c r="J27" s="13" t="n">
        <v>6186.81675534089</v>
      </c>
      <c r="K27" s="1" t="inlineStr">
        <is>
          <t>st1 (evoh, ethyle gly)+st2 (Pe tetra) +lf</t>
        </is>
      </c>
      <c r="O27" s="15" t="n">
        <v>7876773.91699999</v>
      </c>
      <c r="P27" s="13" t="n">
        <v>7397.14384700059</v>
      </c>
      <c r="Q27" t="inlineStr">
        <is>
          <t>st1(evoh pyri)+st2(pe tetra)+lf</t>
        </is>
      </c>
      <c r="R27" s="13" t="n">
        <v>0.710328139763828</v>
      </c>
      <c r="V27" s="20" t="inlineStr">
        <is>
          <t>CE</t>
        </is>
      </c>
      <c r="W27" s="17" t="n"/>
      <c r="X27" s="17" t="n"/>
      <c r="Y27" s="17" t="n"/>
    </row>
    <row r="28" ht="19" customHeight="1">
      <c r="C28" s="15" t="n">
        <v>3459497.42249</v>
      </c>
      <c r="D28" s="13" t="n">
        <v>4641.93537062226</v>
      </c>
      <c r="I28" s="15" t="n">
        <v>3847686.155</v>
      </c>
      <c r="J28" s="13" t="n">
        <v>2531.81852559195</v>
      </c>
      <c r="K28" s="1">
        <f>K29</f>
        <v/>
      </c>
      <c r="L28" s="13" t="n">
        <v>0.648368532402903</v>
      </c>
      <c r="O28" s="15" t="n">
        <v>3749373.472</v>
      </c>
      <c r="P28" s="13" t="n">
        <v>2747.17296455362</v>
      </c>
      <c r="W28" s="18" t="n"/>
      <c r="X28" s="18" t="n"/>
      <c r="Y28" s="18" t="n"/>
    </row>
    <row r="29" ht="19" customHeight="1">
      <c r="C29" s="15" t="n">
        <v>3459497.42249</v>
      </c>
      <c r="D29" s="13" t="n">
        <v>4641.93537062226</v>
      </c>
      <c r="I29" s="15" t="n">
        <v>3847686.155</v>
      </c>
      <c r="J29" s="13" t="n">
        <v>2531.81852559195</v>
      </c>
      <c r="K29" s="1">
        <f>K30</f>
        <v/>
      </c>
      <c r="O29" s="15" t="n">
        <v>3749373.472</v>
      </c>
      <c r="P29" s="13" t="n">
        <v>2747.17296455362</v>
      </c>
    </row>
    <row r="30" ht="19" customHeight="1">
      <c r="C30" s="13" t="n">
        <v>-62687.92001</v>
      </c>
      <c r="D30" s="13" t="n">
        <v>652.8</v>
      </c>
      <c r="E30" t="inlineStr">
        <is>
          <t>lf</t>
        </is>
      </c>
      <c r="I30" s="15" t="n">
        <v>3847686.155</v>
      </c>
      <c r="J30" s="13" t="n">
        <v>2531.81852559195</v>
      </c>
      <c r="K30" s="1" t="inlineStr">
        <is>
          <t>st1 (evoh, ethyle gly) +lf</t>
        </is>
      </c>
      <c r="O30" s="15" t="n">
        <v>3749373.472</v>
      </c>
      <c r="P30" s="13" t="n">
        <v>2747.17296455362</v>
      </c>
      <c r="Q30" t="inlineStr">
        <is>
          <t>st1(evoh pyri)+lf</t>
        </is>
      </c>
      <c r="R30" s="13" t="n">
        <v>0.664530990241095</v>
      </c>
    </row>
    <row r="31" ht="19" customHeight="1">
      <c r="C31" s="13" t="n">
        <v>-62687.92001</v>
      </c>
      <c r="D31" s="13" t="n">
        <v>652.8</v>
      </c>
      <c r="I31" s="13" t="n">
        <v>-62687.92</v>
      </c>
      <c r="J31" s="13" t="n">
        <v>652.8</v>
      </c>
      <c r="K31" s="1" t="inlineStr">
        <is>
          <t>lf</t>
        </is>
      </c>
      <c r="L31" s="13" t="n">
        <v>0.606023102719542</v>
      </c>
      <c r="O31" s="13" t="n">
        <v>-62687.92</v>
      </c>
      <c r="P31" s="13" t="n">
        <v>652.8</v>
      </c>
      <c r="Q31" t="inlineStr">
        <is>
          <t>lf</t>
        </is>
      </c>
    </row>
    <row r="32" ht="19" customHeight="1">
      <c r="C32" s="13" t="n">
        <v>-62687.92001</v>
      </c>
      <c r="D32" s="13" t="n">
        <v>652.8</v>
      </c>
      <c r="I32" s="13" t="n">
        <v>-62687.92</v>
      </c>
      <c r="J32" s="13" t="n">
        <v>652.8</v>
      </c>
      <c r="K32" s="1" t="inlineStr">
        <is>
          <t>lf</t>
        </is>
      </c>
      <c r="O32" s="13" t="n">
        <v>-62687.92</v>
      </c>
      <c r="P32" s="13" t="n">
        <v>652.8</v>
      </c>
      <c r="R32" s="13" t="n">
        <v>0.606023102719542</v>
      </c>
    </row>
    <row r="35">
      <c r="U35" t="inlineStr">
        <is>
          <t>Scenario 1</t>
        </is>
      </c>
      <c r="V35" t="inlineStr">
        <is>
          <t>Scenario 2</t>
        </is>
      </c>
      <c r="W35" t="inlineStr">
        <is>
          <t>Scenario 3</t>
        </is>
      </c>
    </row>
    <row r="36" ht="19" customHeight="1">
      <c r="T36" t="inlineStr">
        <is>
          <t>UB_energy</t>
        </is>
      </c>
      <c r="U36" s="33" t="n">
        <v>59042878.2392228</v>
      </c>
      <c r="V36" s="38" t="n">
        <v>62345860.1592228</v>
      </c>
      <c r="W36" s="15" t="n">
        <v>54868324.1592228</v>
      </c>
    </row>
    <row r="37" ht="19" customHeight="1">
      <c r="T37" t="inlineStr">
        <is>
          <t>UB_ghg</t>
        </is>
      </c>
      <c r="U37" s="38" t="n">
        <v>20157.8413701789</v>
      </c>
      <c r="V37" s="34" t="n">
        <v>16149.4821482391</v>
      </c>
      <c r="W37" s="15" t="n">
        <v>17297.1115805058</v>
      </c>
    </row>
    <row r="38" ht="19" customHeight="1">
      <c r="T38" t="inlineStr">
        <is>
          <t>UB_withdrawal</t>
        </is>
      </c>
      <c r="U38" s="37" t="n">
        <v>12843.7963634733</v>
      </c>
      <c r="V38" s="33" t="n">
        <v>12259.5445063305</v>
      </c>
      <c r="W38" s="36" t="n">
        <v>12369.2085539495</v>
      </c>
    </row>
    <row r="39" ht="19" customHeight="1">
      <c r="T39" t="inlineStr">
        <is>
          <t>UB_waste</t>
        </is>
      </c>
      <c r="U39" s="38" t="n">
        <v>1916345.71298879</v>
      </c>
      <c r="V39" s="33" t="n">
        <v>1916345.71298879</v>
      </c>
      <c r="W39" s="15" t="n">
        <v>1916345.71298879</v>
      </c>
    </row>
    <row r="44">
      <c r="C44" t="inlineStr">
        <is>
          <t>solutions</t>
        </is>
      </c>
      <c r="D44" t="inlineStr">
        <is>
          <t>emissions</t>
        </is>
      </c>
      <c r="E44" t="inlineStr">
        <is>
          <t>Cost</t>
        </is>
      </c>
      <c r="G44" s="44" t="inlineStr">
        <is>
          <t>pe tetra</t>
        </is>
      </c>
    </row>
    <row r="45" ht="19" customHeight="1">
      <c r="C45" t="inlineStr">
        <is>
          <t>lf</t>
        </is>
      </c>
      <c r="D45" t="n">
        <v>652.8</v>
      </c>
      <c r="E45" s="13" t="n">
        <v>-62687.92</v>
      </c>
      <c r="G45" s="44" t="inlineStr">
        <is>
          <t>pe tetra</t>
        </is>
      </c>
    </row>
    <row r="46">
      <c r="C46" t="inlineStr">
        <is>
          <t>lf</t>
        </is>
      </c>
    </row>
    <row r="47" ht="19" customHeight="1">
      <c r="C47" t="inlineStr">
        <is>
          <t>st1+lf</t>
        </is>
      </c>
      <c r="D47" t="n">
        <v>4641.93</v>
      </c>
      <c r="E47" s="15" t="n">
        <v>3459497.42249999</v>
      </c>
    </row>
    <row r="48">
      <c r="C48" t="inlineStr">
        <is>
          <t>st1+lf</t>
        </is>
      </c>
      <c r="G48" t="inlineStr">
        <is>
          <t>evoh pirydaze</t>
        </is>
      </c>
    </row>
    <row r="49" ht="19" customHeight="1">
      <c r="C49" t="inlineStr">
        <is>
          <t>st1+st2+lf</t>
        </is>
      </c>
      <c r="D49" t="n">
        <v>9355.6</v>
      </c>
      <c r="E49" s="15" t="n">
        <v>7170857.015</v>
      </c>
      <c r="G49" t="inlineStr">
        <is>
          <t xml:space="preserve">evoh ethylene glycol </t>
        </is>
      </c>
    </row>
    <row r="50">
      <c r="C50" t="inlineStr">
        <is>
          <t>st1+st2+h2cc</t>
        </is>
      </c>
      <c r="D50" t="n">
        <v>11745</v>
      </c>
      <c r="E50" s="4" t="n">
        <v>7444924.7995</v>
      </c>
    </row>
    <row r="51" ht="19" customHeight="1">
      <c r="C51" t="inlineStr">
        <is>
          <t>st1+st2+h2cc</t>
        </is>
      </c>
      <c r="D51" t="n">
        <v>12069</v>
      </c>
      <c r="E51" s="15" t="n">
        <v>7453663.391</v>
      </c>
    </row>
    <row r="52">
      <c r="C52" t="inlineStr">
        <is>
          <t>st1+st2+we</t>
        </is>
      </c>
      <c r="G52" t="inlineStr">
        <is>
          <t>more emissions and lower profit</t>
        </is>
      </c>
    </row>
    <row r="53" ht="19" customHeight="1">
      <c r="C53" t="inlineStr">
        <is>
          <t>st1+st2+we</t>
        </is>
      </c>
      <c r="D53" t="n">
        <v>14871</v>
      </c>
      <c r="E53" s="15" t="n">
        <v>7481215.391</v>
      </c>
    </row>
    <row r="54">
      <c r="C54" t="inlineStr">
        <is>
          <t>st1+st2+we</t>
        </is>
      </c>
    </row>
    <row r="55">
      <c r="D55" s="28" t="n">
        <v>20867</v>
      </c>
      <c r="E55" s="28" t="inlineStr">
        <is>
          <t>add?</t>
        </is>
      </c>
      <c r="F55" s="31" t="inlineStr">
        <is>
          <t>no because this does not improve the profit therefore is not part of the pareto</t>
        </is>
      </c>
    </row>
    <row r="57">
      <c r="H57" s="44" t="inlineStr">
        <is>
          <t xml:space="preserve">Original Profit vs CE Pareto front </t>
        </is>
      </c>
      <c r="N57" s="44" t="inlineStr">
        <is>
          <t xml:space="preserve">Original Profit vs CE Pareto front </t>
        </is>
      </c>
    </row>
    <row r="59">
      <c r="I59" t="inlineStr">
        <is>
          <t>Cost</t>
        </is>
      </c>
      <c r="J59" t="inlineStr">
        <is>
          <t>CE</t>
        </is>
      </c>
      <c r="K59" t="inlineStr">
        <is>
          <t>Solution</t>
        </is>
      </c>
      <c r="N59" t="inlineStr">
        <is>
          <t>Cost</t>
        </is>
      </c>
      <c r="O59" t="inlineStr">
        <is>
          <t>CE</t>
        </is>
      </c>
      <c r="P59" t="inlineStr">
        <is>
          <t>Solution</t>
        </is>
      </c>
      <c r="T59" t="inlineStr">
        <is>
          <t>cost and CE</t>
        </is>
      </c>
    </row>
    <row r="60" ht="19" customHeight="1">
      <c r="I60" s="15" t="n">
        <v>8482658.7755</v>
      </c>
      <c r="J60" s="13" t="n">
        <v>0.691030649511772</v>
      </c>
      <c r="K60" s="1" t="n"/>
      <c r="N60" s="15" t="n">
        <v>8187132.29299999</v>
      </c>
      <c r="O60" s="13" t="n">
        <v>0.694888747157751</v>
      </c>
      <c r="T60">
        <f>O32</f>
        <v/>
      </c>
      <c r="V60">
        <f>P6</f>
        <v/>
      </c>
    </row>
    <row r="61" ht="19" customHeight="1">
      <c r="I61" s="15" t="n">
        <v>8482658.7755</v>
      </c>
      <c r="J61" s="13" t="n">
        <v>0.691030649511771</v>
      </c>
      <c r="N61" s="15" t="n">
        <v>8187132.29299999</v>
      </c>
      <c r="O61" s="13" t="n">
        <v>0.694888747157847</v>
      </c>
    </row>
    <row r="62" ht="19" customHeight="1">
      <c r="I62" s="15" t="n">
        <v>8482658.7755</v>
      </c>
      <c r="J62" s="13" t="n">
        <v>0.691030649511771</v>
      </c>
      <c r="N62" s="15" t="n">
        <v>8187132.29299999</v>
      </c>
      <c r="O62" s="13" t="n">
        <v>0.694888747157847</v>
      </c>
    </row>
    <row r="63" ht="19" customHeight="1">
      <c r="I63" s="15" t="n">
        <v>8482658.7755</v>
      </c>
      <c r="J63" s="13" t="n">
        <v>0.691030649511771</v>
      </c>
      <c r="N63" s="15" t="n">
        <v>8187132.29299999</v>
      </c>
      <c r="O63" s="13" t="n">
        <v>0.694888747157847</v>
      </c>
    </row>
    <row r="64" ht="19" customHeight="1">
      <c r="I64" s="15" t="n">
        <v>8482658.7755</v>
      </c>
      <c r="J64" s="13" t="n">
        <v>0.691030649511771</v>
      </c>
      <c r="N64" s="15" t="n">
        <v>8187132.29299999</v>
      </c>
      <c r="O64" s="13" t="n">
        <v>0.694888747157847</v>
      </c>
    </row>
    <row r="65" ht="19" customHeight="1">
      <c r="I65" s="15" t="n">
        <v>8482658.7755</v>
      </c>
      <c r="J65" s="13" t="n">
        <v>0.691030649511771</v>
      </c>
      <c r="N65" s="15" t="n">
        <v>8187132.29299999</v>
      </c>
      <c r="O65" s="13" t="n">
        <v>0.694888747157847</v>
      </c>
    </row>
    <row r="66" ht="19" customHeight="1">
      <c r="I66" s="15" t="n">
        <v>8482658.7755</v>
      </c>
      <c r="J66" s="13" t="n">
        <v>0.691030649511771</v>
      </c>
      <c r="K66" t="inlineStr">
        <is>
          <t>st1(evoh ethylene glycol)+st2(PE tetra)+we</t>
        </is>
      </c>
      <c r="N66" s="15" t="n">
        <v>8187132.29299999</v>
      </c>
      <c r="O66" s="13" t="n">
        <v>0.694888747157847</v>
      </c>
      <c r="P66" t="inlineStr">
        <is>
          <t>st1(evoh pyri)+st2(Pe tetra)+we</t>
        </is>
      </c>
    </row>
    <row r="67" ht="19" customHeight="1">
      <c r="B67" s="39" t="inlineStr">
        <is>
          <t>I should add</t>
        </is>
      </c>
      <c r="G67" s="39" t="inlineStr">
        <is>
          <t>no because lowest CE and lowest profit. Not part of Pareto</t>
        </is>
      </c>
      <c r="I67" s="15" t="n">
        <v>8447550.377499999</v>
      </c>
      <c r="J67" s="13" t="n">
        <v>0.701245079882213</v>
      </c>
      <c r="K67" t="inlineStr">
        <is>
          <t>st1(evoh pyri)+st2(pe tetra)+we</t>
        </is>
      </c>
      <c r="N67" s="15" t="n">
        <v>7876773.91699999</v>
      </c>
      <c r="O67" s="13" t="n">
        <v>0.710680686597808</v>
      </c>
    </row>
    <row r="68" ht="19" customHeight="1">
      <c r="B68" s="39" t="n"/>
      <c r="G68" s="39" t="inlineStr">
        <is>
          <t>pe tetra</t>
        </is>
      </c>
      <c r="I68" s="15" t="n">
        <v>8137192.0015</v>
      </c>
      <c r="J68" s="13" t="n">
        <v>0.717104027530357</v>
      </c>
      <c r="K68" t="inlineStr">
        <is>
          <t>st1(evoh pyri)+st2(pe tetra)+lf</t>
        </is>
      </c>
      <c r="N68" s="15" t="n">
        <v>7876773.91699999</v>
      </c>
      <c r="O68" s="13" t="n">
        <v>0.710680686597859</v>
      </c>
      <c r="P68" t="inlineStr">
        <is>
          <t>st1(EVOH pyri)+st2(Pe tetra)+lf</t>
        </is>
      </c>
    </row>
    <row r="69" ht="19" customHeight="1">
      <c r="B69" s="39" t="n"/>
      <c r="G69" s="39" t="inlineStr">
        <is>
          <t>pe tetra</t>
        </is>
      </c>
      <c r="I69" s="15" t="n">
        <v>6733710.892</v>
      </c>
      <c r="J69" s="13" t="n">
        <v>0.722817092241185</v>
      </c>
      <c r="K69" t="inlineStr">
        <is>
          <t>st1(pe tetra)+st2(evoh pyri)+lf</t>
        </is>
      </c>
      <c r="N69" s="15" t="n">
        <v>4476300.1375</v>
      </c>
      <c r="O69" s="13" t="n">
        <v>0.72363450473005</v>
      </c>
      <c r="P69" t="inlineStr">
        <is>
          <t>st1(Pe tetra)+st2(evoh pyri)+lf</t>
        </is>
      </c>
    </row>
    <row r="70">
      <c r="B70" s="39" t="n"/>
      <c r="G70" s="39" t="n"/>
      <c r="T70" s="4">
        <f>O4</f>
        <v/>
      </c>
      <c r="U70">
        <f>Q6</f>
        <v/>
      </c>
    </row>
    <row r="71">
      <c r="B71" s="39" t="n"/>
      <c r="G71" s="39" t="n"/>
    </row>
    <row r="72">
      <c r="H72" s="44" t="inlineStr">
        <is>
          <t>Original Emissions vs CE</t>
        </is>
      </c>
      <c r="N72" s="44" t="inlineStr">
        <is>
          <t>Original Emissions vs CE</t>
        </is>
      </c>
    </row>
    <row r="74">
      <c r="I74" t="inlineStr">
        <is>
          <t>Emissions</t>
        </is>
      </c>
      <c r="J74" t="inlineStr">
        <is>
          <t>CE</t>
        </is>
      </c>
      <c r="K74" t="inlineStr">
        <is>
          <t>Solution</t>
        </is>
      </c>
      <c r="O74" t="inlineStr">
        <is>
          <t>Emissions</t>
        </is>
      </c>
      <c r="P74" t="inlineStr">
        <is>
          <t>CE</t>
        </is>
      </c>
      <c r="Q74" t="inlineStr">
        <is>
          <t>Solution</t>
        </is>
      </c>
    </row>
    <row r="75" ht="19" customHeight="1">
      <c r="I75" s="13" t="n">
        <v>2357.97815436728</v>
      </c>
      <c r="J75" s="13" t="n">
        <v>0.6585501201356621</v>
      </c>
      <c r="K75" t="inlineStr">
        <is>
          <t>st1(evoh pyri)+lf</t>
        </is>
      </c>
      <c r="O75" s="13" t="n">
        <v>2747.17296455362</v>
      </c>
      <c r="P75" s="13" t="n">
        <v>0.664530989607046</v>
      </c>
    </row>
    <row r="76" ht="19" customHeight="1">
      <c r="I76" s="13" t="n">
        <v>2357.97815436728</v>
      </c>
      <c r="J76" s="13" t="n">
        <v>0.658550120135721</v>
      </c>
      <c r="O76" s="13" t="n">
        <v>2747.17296455362</v>
      </c>
      <c r="P76" s="13" t="n">
        <v>0.66453098960711</v>
      </c>
    </row>
    <row r="77" ht="19" customHeight="1">
      <c r="I77" s="13" t="n">
        <v>2357.97815436728</v>
      </c>
      <c r="J77" s="13" t="n">
        <v>0.658550120135721</v>
      </c>
      <c r="O77" s="13" t="n">
        <v>2747.17296455362</v>
      </c>
      <c r="P77" s="13" t="n">
        <v>0.66453098960711</v>
      </c>
    </row>
    <row r="78" ht="19" customHeight="1">
      <c r="I78" s="13" t="n">
        <v>2357.97815436728</v>
      </c>
      <c r="J78" s="13" t="n">
        <v>0.658550120135721</v>
      </c>
      <c r="O78" s="13" t="n">
        <v>2747.17296455362</v>
      </c>
      <c r="P78" s="13" t="n">
        <v>0.66453098960711</v>
      </c>
    </row>
    <row r="79" ht="19" customHeight="1">
      <c r="I79" s="13" t="n">
        <v>2357.97815436728</v>
      </c>
      <c r="J79" s="13" t="n">
        <v>0.658550120135721</v>
      </c>
      <c r="O79" s="13" t="n">
        <v>2747.17296455362</v>
      </c>
      <c r="P79" s="13" t="n">
        <v>0.66453098960711</v>
      </c>
      <c r="Q79" t="inlineStr">
        <is>
          <t>st1(EVOH pyri)+lf</t>
        </is>
      </c>
    </row>
    <row r="80" ht="19" customHeight="1">
      <c r="I80" s="13" t="n">
        <v>5937.76868679796</v>
      </c>
      <c r="J80" s="13" t="n">
        <v>0.72281709224118</v>
      </c>
      <c r="K80" s="46" t="inlineStr">
        <is>
          <t>st1(pe tetra)+st2(evoh pyri)+lf</t>
        </is>
      </c>
      <c r="O80" s="13" t="n">
        <v>6607.94216868503</v>
      </c>
      <c r="P80" s="13" t="n">
        <v>0.723634505269923</v>
      </c>
    </row>
    <row r="81" ht="19" customHeight="1">
      <c r="I81" s="13" t="n">
        <v>5937.76868679808</v>
      </c>
      <c r="J81" s="13" t="n">
        <v>0.722817092241185</v>
      </c>
      <c r="O81" s="13" t="n">
        <v>6607.94216868503</v>
      </c>
      <c r="P81" s="13" t="n">
        <v>0.723634505269923</v>
      </c>
    </row>
    <row r="82" ht="19" customHeight="1">
      <c r="I82" s="13" t="n">
        <v>5937.76868679808</v>
      </c>
      <c r="J82" s="13" t="n">
        <v>0.722817092241185</v>
      </c>
      <c r="O82" s="13" t="n">
        <v>6607.94216868503</v>
      </c>
      <c r="P82" s="13" t="n">
        <v>0.723634505269923</v>
      </c>
    </row>
    <row r="83" ht="19" customHeight="1">
      <c r="I83" s="13" t="n">
        <v>5937.76868679808</v>
      </c>
      <c r="J83" s="13" t="n">
        <v>0.722817092241185</v>
      </c>
      <c r="O83" s="13" t="n">
        <v>6607.94216868503</v>
      </c>
      <c r="P83" s="13" t="n">
        <v>0.723634505269923</v>
      </c>
    </row>
    <row r="84" ht="19" customHeight="1">
      <c r="I84" s="13" t="n">
        <v>5937.76868679808</v>
      </c>
      <c r="J84" s="13" t="n">
        <v>0.722817092241185</v>
      </c>
      <c r="O84" s="13" t="n">
        <v>6607.94216868503</v>
      </c>
      <c r="P84" s="13" t="n">
        <v>0.723634505269923</v>
      </c>
      <c r="Q84" t="inlineStr">
        <is>
          <t>st1(Pe tetra)+st2(evoh pyri)+lf</t>
        </is>
      </c>
    </row>
    <row r="86">
      <c r="C86" s="39" t="inlineStr">
        <is>
          <t>lf</t>
        </is>
      </c>
      <c r="D86" s="39">
        <f>C6</f>
        <v/>
      </c>
      <c r="E86" s="39" t="n"/>
      <c r="F86" s="39" t="n"/>
    </row>
    <row r="87">
      <c r="C87" s="39" t="inlineStr">
        <is>
          <t>st1+st2+we</t>
        </is>
      </c>
      <c r="D87" s="39" t="n">
        <v>0.55</v>
      </c>
      <c r="E87" s="39" t="n"/>
      <c r="F87" s="39" t="inlineStr">
        <is>
          <t>evoh ethyle</t>
        </is>
      </c>
    </row>
    <row r="88">
      <c r="C88" s="39" t="inlineStr">
        <is>
          <t>st1+st2+we</t>
        </is>
      </c>
      <c r="D88" s="39" t="n">
        <v>0.5629999999999999</v>
      </c>
      <c r="E88" s="39" t="n"/>
      <c r="F88" s="39" t="inlineStr">
        <is>
          <t>evohpyridaze</t>
        </is>
      </c>
    </row>
    <row r="89">
      <c r="C89" s="39" t="inlineStr">
        <is>
          <t>st1+we</t>
        </is>
      </c>
      <c r="D89" s="39" t="n">
        <v>0.5774899999999999</v>
      </c>
      <c r="E89" s="39" t="n"/>
      <c r="F89" s="39" t="inlineStr">
        <is>
          <t>evoh ethyle</t>
        </is>
      </c>
    </row>
    <row r="90">
      <c r="C90" s="39" t="inlineStr">
        <is>
          <t>st1+we</t>
        </is>
      </c>
      <c r="D90" s="39" t="n">
        <v>0.5848</v>
      </c>
      <c r="E90" s="39" t="n"/>
      <c r="F90" s="39">
        <f>F88</f>
        <v/>
      </c>
    </row>
    <row r="92">
      <c r="D92" t="inlineStr">
        <is>
          <t>ce</t>
        </is>
      </c>
      <c r="E92" t="inlineStr">
        <is>
          <t>profit</t>
        </is>
      </c>
      <c r="F92" t="inlineStr">
        <is>
          <t>solutions</t>
        </is>
      </c>
    </row>
    <row r="93" ht="19" customHeight="1">
      <c r="D93" s="13" t="n">
        <v>0.6508597415203889</v>
      </c>
      <c r="E93" s="15" t="n">
        <v>7481215.391</v>
      </c>
    </row>
    <row r="94" ht="19" customHeight="1">
      <c r="D94" s="13" t="n">
        <v>0.6508597415205341</v>
      </c>
      <c r="E94" s="15" t="n">
        <v>7481215.391</v>
      </c>
    </row>
    <row r="95" ht="19" customHeight="1">
      <c r="D95" s="13" t="n">
        <v>0.6508597415205341</v>
      </c>
      <c r="E95" s="15" t="n">
        <v>7481215.391</v>
      </c>
    </row>
    <row r="96" ht="19" customHeight="1">
      <c r="D96" s="13" t="n">
        <v>0.6508597415205341</v>
      </c>
      <c r="E96" s="15" t="n">
        <v>7481215.391</v>
      </c>
    </row>
    <row r="97" ht="19" customHeight="1">
      <c r="D97" s="13" t="n">
        <v>0.6508597415205341</v>
      </c>
      <c r="E97" s="15" t="n">
        <v>7481215.391</v>
      </c>
    </row>
    <row r="98" ht="19" customHeight="1">
      <c r="D98" s="13" t="n">
        <v>0.6508597415205341</v>
      </c>
      <c r="E98" s="15" t="n">
        <v>7481215.391</v>
      </c>
      <c r="F98" t="inlineStr">
        <is>
          <t>st1(evoh ethylene glycol)+st2(pe tetra)+we</t>
        </is>
      </c>
    </row>
    <row r="99" ht="19" customHeight="1">
      <c r="D99" s="13" t="n">
        <v>0.658895121087173</v>
      </c>
      <c r="E99" s="15" t="n">
        <v>7472476.7995</v>
      </c>
      <c r="F99" t="inlineStr">
        <is>
          <t>st1(evoh pyri)+st2(pe tetra)+we</t>
        </is>
      </c>
    </row>
    <row r="100" ht="19" customHeight="1">
      <c r="D100" s="13" t="n">
        <v>0.666828877229293</v>
      </c>
      <c r="E100" s="15" t="n">
        <v>7170857.015</v>
      </c>
      <c r="F100" t="inlineStr">
        <is>
          <t>st1(evoh ethylene glycol)+st2(pe tetra)+lf</t>
        </is>
      </c>
    </row>
    <row r="101" ht="19" customHeight="1">
      <c r="D101" s="13" t="n">
        <v>0.674862365208262</v>
      </c>
      <c r="E101" s="15" t="n">
        <v>7162118.4235</v>
      </c>
    </row>
    <row r="102" ht="19" customHeight="1">
      <c r="D102" s="13" t="n">
        <v>0.674862365208267</v>
      </c>
      <c r="E102" s="15" t="n">
        <v>7162118.4235</v>
      </c>
      <c r="F102" t="inlineStr">
        <is>
          <t>st1(evoh pyri)+st2(pe tetra)+lf</t>
        </is>
      </c>
    </row>
    <row r="112">
      <c r="B112" t="inlineStr">
        <is>
          <t>evoh pyr, pe tetra</t>
        </is>
      </c>
    </row>
    <row r="118">
      <c r="B118" t="inlineStr">
        <is>
          <t>pe tetr, evoh pyridazine</t>
        </is>
      </c>
    </row>
    <row r="119">
      <c r="B119" t="inlineStr">
        <is>
          <t xml:space="preserve">evoh pyri, </t>
        </is>
      </c>
    </row>
    <row r="129">
      <c r="C129" t="inlineStr">
        <is>
          <t>solution</t>
        </is>
      </c>
      <c r="D129" t="inlineStr">
        <is>
          <t>ce</t>
        </is>
      </c>
      <c r="E129" t="inlineStr">
        <is>
          <t>e</t>
        </is>
      </c>
    </row>
    <row r="130" ht="19" customHeight="1">
      <c r="C130" t="inlineStr">
        <is>
          <t>lf</t>
        </is>
      </c>
      <c r="D130" s="13" t="n">
        <v>0.499450568041757</v>
      </c>
      <c r="E130" s="13" t="n">
        <v>652.8</v>
      </c>
    </row>
    <row r="131" ht="19" customHeight="1">
      <c r="C131" t="inlineStr">
        <is>
          <t>st1+st2+we</t>
        </is>
      </c>
      <c r="D131" s="13" t="n">
        <v>0.563242634480317</v>
      </c>
      <c r="E131" s="13" t="n">
        <v>14547.2148535799</v>
      </c>
    </row>
    <row r="132" ht="19" customHeight="1">
      <c r="D132" s="13" t="n">
        <v>0.5632426344803591</v>
      </c>
      <c r="E132" s="13" t="n">
        <v>14547.2148535803</v>
      </c>
    </row>
    <row r="133" ht="19" customHeight="1">
      <c r="D133" s="13" t="n">
        <v>0.5632426344803591</v>
      </c>
      <c r="E133" s="13" t="n">
        <v>14547.2148535803</v>
      </c>
    </row>
    <row r="134" ht="19" customHeight="1">
      <c r="D134" s="13" t="n">
        <v>0.5632426344803591</v>
      </c>
      <c r="E134" s="13" t="n">
        <v>14547.2148535803</v>
      </c>
    </row>
    <row r="135" ht="19" customHeight="1">
      <c r="D135" s="13" t="n">
        <v>0.5632426344803591</v>
      </c>
      <c r="E135" s="13" t="n">
        <v>14547.2148535803</v>
      </c>
    </row>
    <row r="136" ht="19" customHeight="1">
      <c r="D136" s="13" t="n">
        <v>0.5632426344803591</v>
      </c>
      <c r="E136" s="13" t="n">
        <v>14547.2148535803</v>
      </c>
    </row>
    <row r="137" ht="19" customHeight="1">
      <c r="C137" t="inlineStr">
        <is>
          <t>st1+st2+we</t>
        </is>
      </c>
      <c r="D137" s="13" t="n">
        <v>0.571027387787409</v>
      </c>
      <c r="E137" s="13" t="n">
        <v>15679.6858507174</v>
      </c>
    </row>
    <row r="138" ht="19" customHeight="1">
      <c r="C138" t="inlineStr">
        <is>
          <t>st1+we</t>
        </is>
      </c>
      <c r="D138" s="13" t="n">
        <v>0.584831106164256</v>
      </c>
      <c r="E138" s="13" t="n">
        <v>20865.8627797715</v>
      </c>
    </row>
    <row r="139" ht="19" customHeight="1">
      <c r="D139" s="13" t="n">
        <v>0.584831106163942</v>
      </c>
      <c r="E139" s="13" t="n">
        <v>20865.8627797719</v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D9" sqref="D9"/>
    </sheetView>
  </sheetViews>
  <sheetFormatPr baseColWidth="10" defaultRowHeight="16"/>
  <cols>
    <col width="10.83203125" customWidth="1" min="16" max="16"/>
  </cols>
  <sheetData>
    <row r="1" ht="204" customHeight="1">
      <c r="B1" s="1" t="inlineStr">
        <is>
          <t>Total Energy Consumed [MJ/ton resin]</t>
        </is>
      </c>
      <c r="C1" s="5" t="inlineStr">
        <is>
          <t>Total Renewable Energy Consumed [MJ/ton resin]</t>
        </is>
      </c>
      <c r="D1" s="1" t="inlineStr">
        <is>
          <t>Total Direct GHG emissions [Scope 1] [metric tons CO2 equivalent [tCO2e/ton]]</t>
        </is>
      </c>
      <c r="E1" s="1" t="inlineStr">
        <is>
          <t>Total Energy indirect GHG emissions (Scope 2) [metric tons CO2 equivalent (t CO2e)]</t>
        </is>
      </c>
      <c r="F1" s="1" t="inlineStr">
        <is>
          <t>Nitrogen oxides [NOX], sulfur oxides [SOX] and other significant air emissions* [ton or multiples]</t>
        </is>
      </c>
      <c r="G1" s="1" t="inlineStr">
        <is>
          <t>Water consumed/discarded [m3/ton]</t>
        </is>
      </c>
      <c r="H1" s="1" t="inlineStr">
        <is>
          <t>Water Recycled or Reused [m3/ton]</t>
        </is>
      </c>
      <c r="I1" s="1" t="inlineStr">
        <is>
          <t>Waste generated - Non Hazardous [kg/ton]</t>
        </is>
      </c>
      <c r="J1" s="1" t="inlineStr">
        <is>
          <t>Waste to Disposal[ton/ton]</t>
        </is>
      </c>
      <c r="K1" s="1" t="inlineStr">
        <is>
          <t>GWP [tonCO2e/ton resin]</t>
        </is>
      </c>
      <c r="L1" s="1" t="inlineStr">
        <is>
          <t>Human toxicity cancer [CTUh/ton resin]</t>
        </is>
      </c>
      <c r="M1" s="1" t="inlineStr">
        <is>
          <t>Human toxicity non-cancer [CTUh/ton resin]</t>
        </is>
      </c>
      <c r="N1" s="1" t="inlineStr">
        <is>
          <t>Ecotoxicity [CTUe/ton resin]</t>
        </is>
      </c>
      <c r="O1" s="1" t="inlineStr">
        <is>
          <t>CAPEX [USD]</t>
        </is>
      </c>
      <c r="P1" s="1" t="inlineStr">
        <is>
          <t>OPEX [USD/ton]</t>
        </is>
      </c>
    </row>
    <row r="2">
      <c r="A2" t="inlineStr">
        <is>
          <t>Scenario 1</t>
        </is>
      </c>
      <c r="B2" t="n">
        <v>0.66</v>
      </c>
      <c r="C2" t="n">
        <v>0</v>
      </c>
      <c r="D2" t="n">
        <v>0.5574631455372669</v>
      </c>
      <c r="K2">
        <f>[14]Process_results_shredderC1!$C$2</f>
        <v/>
      </c>
      <c r="L2" s="4">
        <f>[14]Process_results_shredderC1!$D$2</f>
        <v/>
      </c>
      <c r="M2" s="4">
        <f>[14]Process_results_shredderC1!$E$2</f>
        <v/>
      </c>
      <c r="N2" s="4">
        <f>[14]Process_results_shredderC1!$F$2</f>
        <v/>
      </c>
      <c r="O2" s="4">
        <f>[14]Process_results_shredderC1!$G$2</f>
        <v/>
      </c>
      <c r="P2" s="4">
        <f>[14]Process_results_shredderC1!$H$2</f>
        <v/>
      </c>
    </row>
    <row r="3">
      <c r="A3" t="inlineStr">
        <is>
          <t>Scenario 2</t>
        </is>
      </c>
      <c r="B3" t="n">
        <v>0.66</v>
      </c>
      <c r="C3">
        <f>[10]Process_results_shredderC2!$C$2</f>
        <v/>
      </c>
      <c r="D3">
        <f>K3</f>
        <v/>
      </c>
      <c r="K3" t="n">
        <v>0.129772252670227</v>
      </c>
      <c r="L3" s="4" t="n">
        <v>2.05527628594472e-09</v>
      </c>
      <c r="M3" s="4" t="n">
        <v>1.60733145439266e-07</v>
      </c>
      <c r="N3" t="n">
        <v>3.45181017254818</v>
      </c>
      <c r="O3" t="n">
        <v>2938053.54</v>
      </c>
      <c r="P3" t="n">
        <v>1051212.07</v>
      </c>
    </row>
    <row r="4">
      <c r="A4" t="inlineStr">
        <is>
          <t>Scenario 3</t>
        </is>
      </c>
      <c r="B4">
        <f>[15]Process_results_shredderC3!$B$2</f>
        <v/>
      </c>
      <c r="C4">
        <f>[15]Process_results_shredderC3!$C$2</f>
        <v/>
      </c>
      <c r="D4">
        <f>K4</f>
        <v/>
      </c>
      <c r="K4" s="7" t="n">
        <v>0.179750457941353</v>
      </c>
      <c r="L4" s="8" t="n">
        <v>2.05527628594472e-09</v>
      </c>
      <c r="M4" s="8" t="n">
        <v>1.60733145439266e-07</v>
      </c>
      <c r="N4" s="7" t="n">
        <v>3.45181017254818</v>
      </c>
      <c r="O4" s="7" t="n">
        <v>2424468.03</v>
      </c>
      <c r="P4" s="7" t="n">
        <v>1003656.22</v>
      </c>
    </row>
    <row r="6">
      <c r="P6" s="9" t="n"/>
    </row>
    <row r="7">
      <c r="P7" s="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D13" sqref="D13"/>
    </sheetView>
  </sheetViews>
  <sheetFormatPr baseColWidth="10" defaultRowHeight="16"/>
  <cols>
    <col width="17.1640625" customWidth="1" min="3" max="3"/>
  </cols>
  <sheetData>
    <row r="1" ht="170" customHeight="1">
      <c r="A1" s="10" t="inlineStr">
        <is>
          <t>Wash number</t>
        </is>
      </c>
      <c r="B1" s="10">
        <f>'[1]Final Data (use this)'!C11</f>
        <v/>
      </c>
      <c r="C1" s="10">
        <f>'[1]Final Data (use this)'!D11</f>
        <v/>
      </c>
      <c r="D1" s="10" t="inlineStr">
        <is>
          <t>Total Energy Consumed [MJ/kg resin produced ]</t>
        </is>
      </c>
      <c r="E1" s="10" t="inlineStr">
        <is>
          <t>Total Electricity [MJ/kg resin]</t>
        </is>
      </c>
      <c r="F1" s="10" t="inlineStr">
        <is>
          <t>Total Direct GHG emissions [Scope 1] [metric tons CO2 equivalent [tCO2e/ton]]</t>
        </is>
      </c>
      <c r="G1" s="11" t="inlineStr">
        <is>
          <t>Total Energy indirect GHG emissions (Scope 2) [metric tons CO2 equivalent (t CO2e)]</t>
        </is>
      </c>
      <c r="H1" s="10" t="inlineStr">
        <is>
          <t>Water consumed/discarded [m3/yr]</t>
        </is>
      </c>
      <c r="I1" s="10" t="inlineStr">
        <is>
          <t>Water Recycled or Reused [m3/yr]</t>
        </is>
      </c>
      <c r="J1" s="10" t="inlineStr">
        <is>
          <t>Waste generated - Non Hazardous [kg/yr]</t>
        </is>
      </c>
      <c r="K1" s="10" t="inlineStr">
        <is>
          <t>Waste to Disposal[ton/ton]</t>
        </is>
      </c>
      <c r="L1" s="10" t="inlineStr">
        <is>
          <t>GWP [tonCO2e/ton resin]</t>
        </is>
      </c>
      <c r="M1" s="10" t="inlineStr">
        <is>
          <t>Human toxicity cancer [CTUh/kg resin]</t>
        </is>
      </c>
      <c r="N1" s="10" t="inlineStr">
        <is>
          <t>Human toxicity non-cancer [CTUh/kg resin]</t>
        </is>
      </c>
      <c r="O1" s="10" t="inlineStr">
        <is>
          <t>Ecotoxicity [CTUe/kg resin]</t>
        </is>
      </c>
      <c r="P1" s="10" t="inlineStr">
        <is>
          <t>CAPEX [USD]</t>
        </is>
      </c>
      <c r="Q1" s="10" t="inlineStr">
        <is>
          <t>OPEX [USD/yr]</t>
        </is>
      </c>
      <c r="R1" s="1" t="n"/>
    </row>
    <row r="2">
      <c r="A2" t="inlineStr">
        <is>
          <t>Wash 1</t>
        </is>
      </c>
      <c r="B2" t="inlineStr">
        <is>
          <t>PE</t>
        </is>
      </c>
      <c r="C2" t="inlineStr">
        <is>
          <t>sec-Butyl Acetate</t>
        </is>
      </c>
      <c r="D2">
        <f>[16]Process_results_C3_P1!B2+[15]Process_results_shredderC3!$B$2</f>
        <v/>
      </c>
      <c r="E2">
        <f>[16]Process_results_C3_P1!C2+[15]Process_results_shredderC3!$C$2</f>
        <v/>
      </c>
      <c r="F2">
        <f>L2</f>
        <v/>
      </c>
      <c r="G2" t="n">
        <v>0</v>
      </c>
      <c r="H2" s="1" t="n">
        <v>607.5700000000001</v>
      </c>
      <c r="I2" s="1" t="n">
        <v>52120.53</v>
      </c>
      <c r="J2" s="1" t="n">
        <v>7403.53</v>
      </c>
      <c r="K2" s="1" t="n">
        <v>0</v>
      </c>
      <c r="L2">
        <f>[16]Process_results_C3_P1!D2+[15]Process_results_shredderC3!$D$2</f>
        <v/>
      </c>
      <c r="M2" s="4">
        <f>[16]Process_results_C3_P1!I2+[15]Process_results_shredderC3!$E$2</f>
        <v/>
      </c>
      <c r="N2" s="4">
        <f>[16]Process_results_C3_P1!J2+[15]Process_results_shredderC3!$F$2</f>
        <v/>
      </c>
      <c r="O2">
        <f>[16]Process_results_C3_P1!K2+[15]Process_results_shredderC3!$G$2</f>
        <v/>
      </c>
      <c r="P2">
        <f>[16]Process_results_C3_P1!L2+[15]Process_results_shredderC3!$H$2</f>
        <v/>
      </c>
      <c r="Q2">
        <f>[16]Process_results_C3_P1!M2+[15]Process_results_shredderC3!$I$2</f>
        <v/>
      </c>
    </row>
    <row r="3">
      <c r="A3" t="inlineStr">
        <is>
          <t>Wash 1</t>
        </is>
      </c>
      <c r="B3" t="inlineStr">
        <is>
          <t>PE</t>
        </is>
      </c>
      <c r="C3" t="inlineStr">
        <is>
          <t>Isobutyl Acetate</t>
        </is>
      </c>
      <c r="D3">
        <f>[16]Process_results_C3_P1!B3+[15]Process_results_shredderC3!$B$2</f>
        <v/>
      </c>
      <c r="E3">
        <f>[16]Process_results_C3_P1!C3+[15]Process_results_shredderC3!$C$2</f>
        <v/>
      </c>
      <c r="F3">
        <f>L3</f>
        <v/>
      </c>
      <c r="G3" t="n">
        <v>0</v>
      </c>
      <c r="H3" s="1" t="n">
        <v>596.37</v>
      </c>
      <c r="I3" s="1" t="n">
        <v>51205.64</v>
      </c>
      <c r="J3" s="1" t="n">
        <v>7463.47</v>
      </c>
      <c r="K3" s="1" t="n">
        <v>0</v>
      </c>
      <c r="L3">
        <f>[16]Process_results_C3_P1!D3+[15]Process_results_shredderC3!$D$2</f>
        <v/>
      </c>
      <c r="M3" s="4">
        <f>[16]Process_results_C3_P1!I3+[15]Process_results_shredderC3!$E$2</f>
        <v/>
      </c>
      <c r="N3" s="4">
        <f>[16]Process_results_C3_P1!J3+[15]Process_results_shredderC3!$F$2</f>
        <v/>
      </c>
      <c r="O3">
        <f>[16]Process_results_C3_P1!K3+[15]Process_results_shredderC3!$G$2</f>
        <v/>
      </c>
      <c r="P3">
        <f>[16]Process_results_C3_P1!L3+[15]Process_results_shredderC3!$H$2</f>
        <v/>
      </c>
      <c r="Q3">
        <f>[16]Process_results_C3_P1!M3+[15]Process_results_shredderC3!$I$2</f>
        <v/>
      </c>
    </row>
    <row r="4">
      <c r="A4" t="inlineStr">
        <is>
          <t>Wash 1</t>
        </is>
      </c>
      <c r="B4" t="inlineStr">
        <is>
          <t>PE</t>
        </is>
      </c>
      <c r="C4" t="inlineStr">
        <is>
          <t>Tetrachloroethylene</t>
        </is>
      </c>
      <c r="D4">
        <f>[16]Process_results_C3_P1!B4+[15]Process_results_shredderC3!$B$2</f>
        <v/>
      </c>
      <c r="E4">
        <f>[16]Process_results_C3_P1!C4+[15]Process_results_shredderC3!$C$2</f>
        <v/>
      </c>
      <c r="F4">
        <f>L4</f>
        <v/>
      </c>
      <c r="G4" t="n">
        <v>0</v>
      </c>
      <c r="H4" s="1" t="n">
        <v>299.61</v>
      </c>
      <c r="I4" s="1" t="n">
        <v>25637.89</v>
      </c>
      <c r="J4" s="1" t="n">
        <v>4419.13</v>
      </c>
      <c r="K4" s="1" t="n">
        <v>0</v>
      </c>
      <c r="L4">
        <f>[16]Process_results_C3_P1!D4+[15]Process_results_shredderC3!$D$2</f>
        <v/>
      </c>
      <c r="M4" s="4">
        <f>[16]Process_results_C3_P1!I4+[15]Process_results_shredderC3!$E$2</f>
        <v/>
      </c>
      <c r="N4" s="4">
        <f>[16]Process_results_C3_P1!J4+[15]Process_results_shredderC3!$F$2</f>
        <v/>
      </c>
      <c r="O4">
        <f>[16]Process_results_C3_P1!K4+[15]Process_results_shredderC3!$G$2</f>
        <v/>
      </c>
      <c r="P4">
        <f>[16]Process_results_C3_P1!L4+[15]Process_results_shredderC3!$H$2</f>
        <v/>
      </c>
      <c r="Q4">
        <f>[16]Process_results_C3_P1!M4+[15]Process_results_shredderC3!$I$2</f>
        <v/>
      </c>
    </row>
    <row r="5">
      <c r="A5" t="inlineStr">
        <is>
          <t>Wash 1</t>
        </is>
      </c>
      <c r="B5" t="inlineStr">
        <is>
          <t>PE</t>
        </is>
      </c>
      <c r="C5" t="inlineStr">
        <is>
          <t>o-Chlorotoluene</t>
        </is>
      </c>
      <c r="D5">
        <f>[16]Process_results_C3_P1!B5+[15]Process_results_shredderC3!$B$2</f>
        <v/>
      </c>
      <c r="E5">
        <f>[16]Process_results_C3_P1!C5+[15]Process_results_shredderC3!$C$2</f>
        <v/>
      </c>
      <c r="F5">
        <f>L5</f>
        <v/>
      </c>
      <c r="G5" t="n">
        <v>0</v>
      </c>
      <c r="H5" s="1" t="n">
        <v>741.85</v>
      </c>
      <c r="I5" s="1" t="n">
        <v>63368.91</v>
      </c>
      <c r="J5" s="1" t="n">
        <v>6319.81</v>
      </c>
      <c r="K5" s="1" t="n">
        <v>0</v>
      </c>
      <c r="L5">
        <f>[16]Process_results_C3_P1!D5+[15]Process_results_shredderC3!$D$2</f>
        <v/>
      </c>
      <c r="M5" s="4">
        <f>[16]Process_results_C3_P1!I5+[15]Process_results_shredderC3!$E$2</f>
        <v/>
      </c>
      <c r="N5" s="4">
        <f>[16]Process_results_C3_P1!J5+[15]Process_results_shredderC3!$F$2</f>
        <v/>
      </c>
      <c r="O5">
        <f>[16]Process_results_C3_P1!K5+[15]Process_results_shredderC3!$G$2</f>
        <v/>
      </c>
      <c r="P5">
        <f>[16]Process_results_C3_P1!L5+[15]Process_results_shredderC3!$H$2</f>
        <v/>
      </c>
      <c r="Q5">
        <f>[16]Process_results_C3_P1!M5+[15]Process_results_shredderC3!$I$2</f>
        <v/>
      </c>
    </row>
    <row r="6">
      <c r="A6" t="inlineStr">
        <is>
          <t>Wash 1</t>
        </is>
      </c>
      <c r="B6" t="inlineStr">
        <is>
          <t>PE</t>
        </is>
      </c>
      <c r="C6" t="inlineStr">
        <is>
          <t>Methylcyclohexane</t>
        </is>
      </c>
      <c r="D6">
        <f>[16]Process_results_C3_P1!B6+[15]Process_results_shredderC3!$B$2</f>
        <v/>
      </c>
      <c r="E6">
        <f>[16]Process_results_C3_P1!C6+[15]Process_results_shredderC3!$C$2</f>
        <v/>
      </c>
      <c r="F6">
        <f>L6</f>
        <v/>
      </c>
      <c r="G6" t="n">
        <v>0</v>
      </c>
      <c r="H6" s="1" t="n">
        <v>489.2</v>
      </c>
      <c r="I6" s="1" t="n">
        <v>42251.83</v>
      </c>
      <c r="J6" s="1" t="n">
        <v>8129.51</v>
      </c>
      <c r="K6" s="1" t="n">
        <v>0</v>
      </c>
      <c r="L6">
        <f>[16]Process_results_C3_P1!D6+[15]Process_results_shredderC3!$D$2</f>
        <v/>
      </c>
      <c r="M6" s="4">
        <f>[16]Process_results_C3_P1!I6+[15]Process_results_shredderC3!$E$2</f>
        <v/>
      </c>
      <c r="N6" s="4">
        <f>[16]Process_results_C3_P1!J6+[15]Process_results_shredderC3!$F$2</f>
        <v/>
      </c>
      <c r="O6">
        <f>[16]Process_results_C3_P1!K6+[15]Process_results_shredderC3!$G$2</f>
        <v/>
      </c>
      <c r="P6">
        <f>[16]Process_results_C3_P1!L6+[15]Process_results_shredderC3!$H$2</f>
        <v/>
      </c>
      <c r="Q6">
        <f>[16]Process_results_C3_P1!M6+[15]Process_results_shredderC3!$I$2</f>
        <v/>
      </c>
    </row>
    <row r="7">
      <c r="A7" t="inlineStr">
        <is>
          <t>Wash 1</t>
        </is>
      </c>
      <c r="B7" t="inlineStr">
        <is>
          <t>PE</t>
        </is>
      </c>
      <c r="C7" t="inlineStr">
        <is>
          <t>Dodecanol</t>
        </is>
      </c>
      <c r="D7">
        <f>[16]Process_results_C3_P1!B7+[15]Process_results_shredderC3!$B$2</f>
        <v/>
      </c>
      <c r="E7">
        <f>[16]Process_results_C3_P1!C7+[15]Process_results_shredderC3!$C$2</f>
        <v/>
      </c>
      <c r="F7">
        <f>L7</f>
        <v/>
      </c>
      <c r="G7" t="n">
        <v>0</v>
      </c>
      <c r="H7" s="1" t="n">
        <v>2058.3</v>
      </c>
      <c r="I7" s="1" t="n">
        <v>173624.6</v>
      </c>
      <c r="J7" s="1" t="n">
        <v>8514.940000000001</v>
      </c>
      <c r="K7" s="1" t="n">
        <v>0</v>
      </c>
      <c r="L7">
        <f>[16]Process_results_C3_P1!D7+[15]Process_results_shredderC3!$D$2</f>
        <v/>
      </c>
      <c r="M7" s="4">
        <f>[16]Process_results_C3_P1!I7+[15]Process_results_shredderC3!$E$2</f>
        <v/>
      </c>
      <c r="N7" s="4">
        <f>[16]Process_results_C3_P1!J7+[15]Process_results_shredderC3!$F$2</f>
        <v/>
      </c>
      <c r="O7">
        <f>[16]Process_results_C3_P1!K7+[15]Process_results_shredderC3!$G$2</f>
        <v/>
      </c>
      <c r="P7">
        <f>[16]Process_results_C3_P1!L7+[15]Process_results_shredderC3!$H$2</f>
        <v/>
      </c>
      <c r="Q7">
        <f>[16]Process_results_C3_P1!M7+[15]Process_results_shredderC3!$I$2</f>
        <v/>
      </c>
    </row>
    <row r="8">
      <c r="A8" t="inlineStr">
        <is>
          <t>Wash 1</t>
        </is>
      </c>
      <c r="B8" t="inlineStr">
        <is>
          <t>PE</t>
        </is>
      </c>
      <c r="C8" t="inlineStr">
        <is>
          <t>Heptane</t>
        </is>
      </c>
      <c r="D8">
        <f>[16]Process_results_C3_P1!B8+[15]Process_results_shredderC3!$B$2</f>
        <v/>
      </c>
      <c r="E8">
        <f>[16]Process_results_C3_P1!C8+[15]Process_results_shredderC3!$C$2</f>
        <v/>
      </c>
      <c r="F8">
        <f>L8</f>
        <v/>
      </c>
      <c r="G8" t="n">
        <v>0</v>
      </c>
      <c r="H8" s="1" t="n">
        <v>519.2</v>
      </c>
      <c r="I8" s="1" t="n">
        <v>44810.07</v>
      </c>
      <c r="J8" s="1" t="n">
        <v>9006.42</v>
      </c>
      <c r="K8" s="1" t="n">
        <v>0</v>
      </c>
      <c r="L8">
        <f>[16]Process_results_C3_P1!D8+[15]Process_results_shredderC3!$D$2</f>
        <v/>
      </c>
      <c r="M8" s="4">
        <f>[16]Process_results_C3_P1!I8+[15]Process_results_shredderC3!$E$2</f>
        <v/>
      </c>
      <c r="N8" s="4">
        <f>[16]Process_results_C3_P1!J8+[15]Process_results_shredderC3!$F$2</f>
        <v/>
      </c>
      <c r="O8">
        <f>[16]Process_results_C3_P1!K8+[15]Process_results_shredderC3!$G$2</f>
        <v/>
      </c>
      <c r="P8">
        <f>[16]Process_results_C3_P1!L8+[15]Process_results_shredderC3!$H$2</f>
        <v/>
      </c>
      <c r="Q8">
        <f>[16]Process_results_C3_P1!M8+[15]Process_results_shredderC3!$I$2</f>
        <v/>
      </c>
    </row>
    <row r="9">
      <c r="A9" t="inlineStr">
        <is>
          <t>Wash 1</t>
        </is>
      </c>
      <c r="B9" t="inlineStr">
        <is>
          <t>PE</t>
        </is>
      </c>
      <c r="C9" t="inlineStr">
        <is>
          <t>Toluene</t>
        </is>
      </c>
      <c r="D9">
        <f>[16]Process_results_C3_P1!B9+[15]Process_results_shredderC3!$B$2</f>
        <v/>
      </c>
      <c r="E9">
        <f>[16]Process_results_C3_P1!C9+[15]Process_results_shredderC3!$C$2</f>
        <v/>
      </c>
      <c r="F9">
        <f>L9</f>
        <v/>
      </c>
      <c r="G9" t="n">
        <v>0</v>
      </c>
      <c r="H9" s="1" t="n">
        <v>627.3200000000001</v>
      </c>
      <c r="I9" s="1" t="n">
        <v>54056.42</v>
      </c>
      <c r="J9" s="1" t="n">
        <v>11871.24</v>
      </c>
      <c r="K9" s="1" t="n">
        <v>0</v>
      </c>
      <c r="L9">
        <f>[16]Process_results_C3_P1!D9+[15]Process_results_shredderC3!$D$2</f>
        <v/>
      </c>
      <c r="M9" s="4">
        <f>[16]Process_results_C3_P1!I9+[15]Process_results_shredderC3!$E$2</f>
        <v/>
      </c>
      <c r="N9" s="4">
        <f>[16]Process_results_C3_P1!J9+[15]Process_results_shredderC3!$F$2</f>
        <v/>
      </c>
      <c r="O9">
        <f>[16]Process_results_C3_P1!K9+[15]Process_results_shredderC3!$G$2</f>
        <v/>
      </c>
      <c r="P9">
        <f>[16]Process_results_C3_P1!L9+[15]Process_results_shredderC3!$H$2</f>
        <v/>
      </c>
      <c r="Q9">
        <f>[16]Process_results_C3_P1!M9+[15]Process_results_shredderC3!$I$2</f>
        <v/>
      </c>
    </row>
    <row r="10">
      <c r="A10" t="inlineStr">
        <is>
          <t>Wash 1</t>
        </is>
      </c>
      <c r="B10" t="inlineStr">
        <is>
          <t>PE</t>
        </is>
      </c>
      <c r="C10" t="inlineStr">
        <is>
          <t>Xylene</t>
        </is>
      </c>
      <c r="D10">
        <f>[16]Process_results_C3_P1!B10+[15]Process_results_shredderC3!$B$2</f>
        <v/>
      </c>
      <c r="E10">
        <f>[16]Process_results_C3_P1!C10+[15]Process_results_shredderC3!$C$2</f>
        <v/>
      </c>
      <c r="F10">
        <f>L10</f>
        <v/>
      </c>
      <c r="G10" t="n">
        <v>0</v>
      </c>
      <c r="H10" s="1" t="n">
        <v>758.24</v>
      </c>
      <c r="I10" s="1" t="n">
        <v>64966.4</v>
      </c>
      <c r="J10" s="1" t="n">
        <v>7294.56</v>
      </c>
      <c r="K10" s="1" t="n">
        <v>0</v>
      </c>
      <c r="L10">
        <f>[16]Process_results_C3_P1!D10+[15]Process_results_shredderC3!$D$2</f>
        <v/>
      </c>
      <c r="M10" s="4">
        <f>[16]Process_results_C3_P1!I10+[15]Process_results_shredderC3!$E$2</f>
        <v/>
      </c>
      <c r="N10" s="4">
        <f>[16]Process_results_C3_P1!J10+[15]Process_results_shredderC3!$F$2</f>
        <v/>
      </c>
      <c r="O10">
        <f>[16]Process_results_C3_P1!K10+[15]Process_results_shredderC3!$G$2</f>
        <v/>
      </c>
      <c r="P10">
        <f>[16]Process_results_C3_P1!L10+[15]Process_results_shredderC3!$H$2</f>
        <v/>
      </c>
      <c r="Q10">
        <f>[16]Process_results_C3_P1!M10+[15]Process_results_shredderC3!$I$2</f>
        <v/>
      </c>
    </row>
    <row r="11">
      <c r="A11" t="inlineStr">
        <is>
          <t>Wash 1</t>
        </is>
      </c>
      <c r="B11" t="inlineStr">
        <is>
          <t>EVOH</t>
        </is>
      </c>
      <c r="C11" t="inlineStr">
        <is>
          <t>Ethylene Glycol</t>
        </is>
      </c>
      <c r="D11">
        <f>[17]Process_results_C3_E1!B2+[15]Process_results_shredderC3!$B$2</f>
        <v/>
      </c>
      <c r="E11">
        <f>[17]Process_results_C3_E1!C2+[15]Process_results_shredderC3!$C$2</f>
        <v/>
      </c>
      <c r="F11">
        <f>L11</f>
        <v/>
      </c>
      <c r="G11" t="n">
        <v>0</v>
      </c>
      <c r="H11" s="6" t="n">
        <v>1364.7</v>
      </c>
      <c r="I11" s="6" t="n">
        <v>120119.92</v>
      </c>
      <c r="J11" s="1" t="n">
        <v>2426.35</v>
      </c>
      <c r="K11" s="1" t="n">
        <v>0</v>
      </c>
      <c r="L11">
        <f>[17]Process_results_C3_E1!D2+[15]Process_results_shredderC3!$D$2</f>
        <v/>
      </c>
      <c r="M11" s="4">
        <f>[17]Process_results_C3_E1!I2+[15]Process_results_shredderC3!$E$2</f>
        <v/>
      </c>
      <c r="N11" s="4">
        <f>[17]Process_results_C3_E1!J2+[15]Process_results_shredderC3!$F$2</f>
        <v/>
      </c>
      <c r="O11" s="4">
        <f>[17]Process_results_C3_E1!K2+[15]Process_results_shredderC3!$G$2</f>
        <v/>
      </c>
      <c r="P11">
        <f>[17]Process_results_C3_E1!L2+[15]Process_results_shredderC3!$H$2</f>
        <v/>
      </c>
      <c r="Q11">
        <f>[17]Process_results_C3_E1!M2+[15]Process_results_shredderC3!$I$2</f>
        <v/>
      </c>
    </row>
    <row r="12">
      <c r="A12" t="inlineStr">
        <is>
          <t>Wash 1</t>
        </is>
      </c>
      <c r="B12" t="inlineStr">
        <is>
          <t>EVOH</t>
        </is>
      </c>
      <c r="C12" t="inlineStr">
        <is>
          <t>Pyridazine</t>
        </is>
      </c>
      <c r="D12">
        <f>[17]Process_results_C3_E1!B3+[15]Process_results_shredderC3!$B$2</f>
        <v/>
      </c>
      <c r="E12">
        <f>[17]Process_results_C3_E1!C3+[15]Process_results_shredderC3!$C$2</f>
        <v/>
      </c>
      <c r="F12">
        <f>L12</f>
        <v/>
      </c>
      <c r="G12" t="n">
        <v>0</v>
      </c>
      <c r="H12" s="6" t="n">
        <v>819.92</v>
      </c>
      <c r="I12" s="6" t="n">
        <v>71782.02</v>
      </c>
      <c r="J12" t="n">
        <v>2837.85</v>
      </c>
      <c r="K12" s="1" t="n">
        <v>0</v>
      </c>
      <c r="L12">
        <f>[17]Process_results_C3_E1!D3+[15]Process_results_shredderC3!$D$2</f>
        <v/>
      </c>
      <c r="M12" s="4">
        <f>[17]Process_results_C3_E1!I3+[15]Process_results_shredderC3!$E$2</f>
        <v/>
      </c>
      <c r="N12" s="4">
        <f>[17]Process_results_C3_E1!J3+[15]Process_results_shredderC3!$F$2</f>
        <v/>
      </c>
      <c r="O12" s="4">
        <f>[17]Process_results_C3_E1!K3+[15]Process_results_shredderC3!$G$2</f>
        <v/>
      </c>
      <c r="P12">
        <f>[17]Process_results_C3_E1!L3+[15]Process_results_shredderC3!$H$2</f>
        <v/>
      </c>
      <c r="Q12">
        <f>[17]Process_results_C3_E1!M3+[15]Process_results_shredderC3!$I$2</f>
        <v/>
      </c>
    </row>
    <row r="13">
      <c r="A13" t="inlineStr">
        <is>
          <t>Wash 2</t>
        </is>
      </c>
      <c r="B13" t="inlineStr">
        <is>
          <t>PE</t>
        </is>
      </c>
      <c r="C13" t="inlineStr">
        <is>
          <t>sec-Butyl Acetate</t>
        </is>
      </c>
      <c r="D13">
        <f>[18]Process_results_C3_P2!B2+[15]Process_results_shredderC3!$B$2</f>
        <v/>
      </c>
      <c r="E13">
        <f>[18]Process_results_C3_P2!C2+[15]Process_results_shredderC3!$C$2</f>
        <v/>
      </c>
      <c r="F13">
        <f>L13</f>
        <v/>
      </c>
      <c r="G13" t="n">
        <v>0</v>
      </c>
      <c r="H13" t="n">
        <v>574.99</v>
      </c>
      <c r="I13" t="n">
        <v>49212.73</v>
      </c>
      <c r="J13" t="n">
        <v>7303.6</v>
      </c>
      <c r="K13" s="1" t="n">
        <v>0</v>
      </c>
      <c r="L13">
        <f>[18]Process_results_C3_P2!D2+[15]Process_results_shredderC3!$D$2</f>
        <v/>
      </c>
      <c r="M13" s="4">
        <f>[18]Process_results_C3_P2!I2+[15]Process_results_shredderC3!$E$2</f>
        <v/>
      </c>
      <c r="N13" s="4">
        <f>[18]Process_results_C3_P2!J2+[15]Process_results_shredderC3!$F$2</f>
        <v/>
      </c>
      <c r="O13" s="4">
        <f>[18]Process_results_C3_P2!K2+[15]Process_results_shredderC3!$G$2</f>
        <v/>
      </c>
      <c r="P13" s="4">
        <f>[18]Process_results_C3_P2!L2+[15]Process_results_shredderC3!$H$2</f>
        <v/>
      </c>
      <c r="Q13" s="4">
        <f>[18]Process_results_C3_P2!M2+[15]Process_results_shredderC3!$I$2</f>
        <v/>
      </c>
    </row>
    <row r="14">
      <c r="A14" t="inlineStr">
        <is>
          <t>Wash 2</t>
        </is>
      </c>
      <c r="B14" t="inlineStr">
        <is>
          <t>PE</t>
        </is>
      </c>
      <c r="C14" t="inlineStr">
        <is>
          <t>Isobutyl Acetate</t>
        </is>
      </c>
      <c r="D14">
        <f>[18]Process_results_C3_P2!B3+[15]Process_results_shredderC3!$B$2</f>
        <v/>
      </c>
      <c r="E14">
        <f>[18]Process_results_C3_P2!C3+[15]Process_results_shredderC3!$C$2</f>
        <v/>
      </c>
      <c r="F14">
        <f>L14</f>
        <v/>
      </c>
      <c r="G14" t="n">
        <v>0</v>
      </c>
      <c r="H14" t="n">
        <v>566.3099999999999</v>
      </c>
      <c r="I14" t="n">
        <v>48512.56</v>
      </c>
      <c r="J14" t="n">
        <v>7363.19</v>
      </c>
      <c r="K14" s="1" t="n">
        <v>0</v>
      </c>
      <c r="L14">
        <f>[18]Process_results_C3_P2!D3+[15]Process_results_shredderC3!$D$2</f>
        <v/>
      </c>
      <c r="M14" s="4">
        <f>[18]Process_results_C3_P2!I3+[15]Process_results_shredderC3!$E$2</f>
        <v/>
      </c>
      <c r="N14" s="4">
        <f>[18]Process_results_C3_P2!J3+[15]Process_results_shredderC3!$F$2</f>
        <v/>
      </c>
      <c r="O14" s="4">
        <f>[18]Process_results_C3_P2!K3+[15]Process_results_shredderC3!$G$2</f>
        <v/>
      </c>
      <c r="P14" s="4">
        <f>[18]Process_results_C3_P2!L3+[15]Process_results_shredderC3!$H$2</f>
        <v/>
      </c>
      <c r="Q14" s="4">
        <f>[18]Process_results_C3_P2!M3+[15]Process_results_shredderC3!$I$2</f>
        <v/>
      </c>
    </row>
    <row r="15">
      <c r="A15" t="inlineStr">
        <is>
          <t>Wash 2</t>
        </is>
      </c>
      <c r="B15" t="inlineStr">
        <is>
          <t>PE</t>
        </is>
      </c>
      <c r="C15" t="inlineStr">
        <is>
          <t>Tetrachloroethylene</t>
        </is>
      </c>
      <c r="D15">
        <f>[18]Process_results_C3_P2!B4+[15]Process_results_shredderC3!$B$2</f>
        <v/>
      </c>
      <c r="E15">
        <f>[18]Process_results_C3_P2!C4+[15]Process_results_shredderC3!$C$2</f>
        <v/>
      </c>
      <c r="F15">
        <f>L15</f>
        <v/>
      </c>
      <c r="G15" t="n">
        <v>0</v>
      </c>
      <c r="H15" t="n">
        <v>278.69</v>
      </c>
      <c r="I15" t="n">
        <v>23781.35</v>
      </c>
      <c r="J15" t="n">
        <v>4341.89</v>
      </c>
      <c r="K15" s="1" t="n">
        <v>0</v>
      </c>
      <c r="L15">
        <f>[18]Process_results_C3_P2!D4+[15]Process_results_shredderC3!$D$2</f>
        <v/>
      </c>
      <c r="M15" s="4">
        <f>[18]Process_results_C3_P2!I4+[15]Process_results_shredderC3!$E$2</f>
        <v/>
      </c>
      <c r="N15" s="4">
        <f>[18]Process_results_C3_P2!J4+[15]Process_results_shredderC3!$F$2</f>
        <v/>
      </c>
      <c r="O15" s="4">
        <f>[18]Process_results_C3_P2!K4+[15]Process_results_shredderC3!$G$2</f>
        <v/>
      </c>
      <c r="P15" s="4">
        <f>[18]Process_results_C3_P2!L4+[15]Process_results_shredderC3!$H$2</f>
        <v/>
      </c>
      <c r="Q15" s="4">
        <f>[18]Process_results_C3_P2!M4+[15]Process_results_shredderC3!$I$2</f>
        <v/>
      </c>
    </row>
    <row r="16">
      <c r="A16" t="inlineStr">
        <is>
          <t>Wash 2</t>
        </is>
      </c>
      <c r="B16" t="inlineStr">
        <is>
          <t>PE</t>
        </is>
      </c>
      <c r="C16" t="inlineStr">
        <is>
          <t>o-Chlorotoluene</t>
        </is>
      </c>
      <c r="D16">
        <f>[18]Process_results_C3_P2!B5+[15]Process_results_shredderC3!$B$2</f>
        <v/>
      </c>
      <c r="E16">
        <f>[18]Process_results_C3_P2!C5+[15]Process_results_shredderC3!$C$2</f>
        <v/>
      </c>
      <c r="F16">
        <f>L16</f>
        <v/>
      </c>
      <c r="G16" t="n">
        <v>0</v>
      </c>
      <c r="H16" t="n">
        <v>707.51</v>
      </c>
      <c r="I16" t="n">
        <v>60319.06</v>
      </c>
      <c r="J16" t="n">
        <v>6226.9</v>
      </c>
      <c r="K16" s="1" t="n">
        <v>0</v>
      </c>
      <c r="L16">
        <f>[18]Process_results_C3_P2!D5+[15]Process_results_shredderC3!$D$2</f>
        <v/>
      </c>
      <c r="M16" s="4">
        <f>[18]Process_results_C3_P2!I5+[15]Process_results_shredderC3!$E$2</f>
        <v/>
      </c>
      <c r="N16" s="4">
        <f>[18]Process_results_C3_P2!J5+[15]Process_results_shredderC3!$F$2</f>
        <v/>
      </c>
      <c r="O16" s="4">
        <f>[18]Process_results_C3_P2!K5+[15]Process_results_shredderC3!$G$2</f>
        <v/>
      </c>
      <c r="P16" s="4">
        <f>[18]Process_results_C3_P2!L5+[15]Process_results_shredderC3!$H$2</f>
        <v/>
      </c>
      <c r="Q16" s="4">
        <f>[18]Process_results_C3_P2!M5+[15]Process_results_shredderC3!$I$2</f>
        <v/>
      </c>
    </row>
    <row r="17">
      <c r="A17" t="inlineStr">
        <is>
          <t>Wash 2</t>
        </is>
      </c>
      <c r="B17" t="inlineStr">
        <is>
          <t>PE</t>
        </is>
      </c>
      <c r="C17" t="inlineStr">
        <is>
          <t>Methylcyclohexane</t>
        </is>
      </c>
      <c r="D17">
        <f>[18]Process_results_C3_P2!B6+[15]Process_results_shredderC3!$B$2</f>
        <v/>
      </c>
      <c r="E17">
        <f>[18]Process_results_C3_P2!C6+[15]Process_results_shredderC3!$C$2</f>
        <v/>
      </c>
      <c r="F17">
        <f>L17</f>
        <v/>
      </c>
      <c r="G17" t="n">
        <v>0</v>
      </c>
      <c r="H17" t="n">
        <v>455.45</v>
      </c>
      <c r="I17" t="n">
        <v>39219.93</v>
      </c>
      <c r="J17" t="n">
        <v>8025.78</v>
      </c>
      <c r="K17" s="1" t="n">
        <v>0</v>
      </c>
      <c r="L17">
        <f>[18]Process_results_C3_P2!D6+[15]Process_results_shredderC3!$D$2</f>
        <v/>
      </c>
      <c r="M17" s="4">
        <f>[18]Process_results_C3_P2!I6+[15]Process_results_shredderC3!$E$2</f>
        <v/>
      </c>
      <c r="N17" s="4">
        <f>[18]Process_results_C3_P2!J6+[15]Process_results_shredderC3!$F$2</f>
        <v/>
      </c>
      <c r="O17" s="4">
        <f>[18]Process_results_C3_P2!K6+[15]Process_results_shredderC3!$G$2</f>
        <v/>
      </c>
      <c r="P17" s="4">
        <f>[18]Process_results_C3_P2!L6+[15]Process_results_shredderC3!$H$2</f>
        <v/>
      </c>
      <c r="Q17" s="4">
        <f>[18]Process_results_C3_P2!M6+[15]Process_results_shredderC3!$I$2</f>
        <v/>
      </c>
    </row>
    <row r="18">
      <c r="A18" t="inlineStr">
        <is>
          <t>Wash 2</t>
        </is>
      </c>
      <c r="B18" t="inlineStr">
        <is>
          <t>PE</t>
        </is>
      </c>
      <c r="C18" t="inlineStr">
        <is>
          <t>Dodecanol</t>
        </is>
      </c>
      <c r="D18">
        <f>[18]Process_results_C3_P2!B7+[15]Process_results_shredderC3!$B$2</f>
        <v/>
      </c>
      <c r="E18">
        <f>[18]Process_results_C3_P2!C7+[15]Process_results_shredderC3!$C$2</f>
        <v/>
      </c>
      <c r="F18">
        <f>L18</f>
        <v/>
      </c>
      <c r="G18" t="n">
        <v>0</v>
      </c>
      <c r="H18" t="n">
        <v>1998.05</v>
      </c>
      <c r="I18" t="n">
        <v>168466.47</v>
      </c>
      <c r="J18" t="n">
        <v>8405.549999999999</v>
      </c>
      <c r="K18" s="1" t="n">
        <v>0</v>
      </c>
      <c r="L18">
        <f>[18]Process_results_C3_P2!D7+[15]Process_results_shredderC3!$D$2</f>
        <v/>
      </c>
      <c r="M18" s="4">
        <f>[18]Process_results_C3_P2!I7+[15]Process_results_shredderC3!$E$2</f>
        <v/>
      </c>
      <c r="N18" s="4">
        <f>[18]Process_results_C3_P2!J7+[15]Process_results_shredderC3!$F$2</f>
        <v/>
      </c>
      <c r="O18" s="4">
        <f>[18]Process_results_C3_P2!K7+[15]Process_results_shredderC3!$G$2</f>
        <v/>
      </c>
      <c r="P18" s="4">
        <f>[18]Process_results_C3_P2!L7+[15]Process_results_shredderC3!$H$2</f>
        <v/>
      </c>
      <c r="Q18" s="4">
        <f>[18]Process_results_C3_P2!M7+[15]Process_results_shredderC3!$I$2</f>
        <v/>
      </c>
    </row>
    <row r="19">
      <c r="A19" t="inlineStr">
        <is>
          <t>Wash 2</t>
        </is>
      </c>
      <c r="B19" t="inlineStr">
        <is>
          <t>PE</t>
        </is>
      </c>
      <c r="C19" t="inlineStr">
        <is>
          <t>Heptane</t>
        </is>
      </c>
      <c r="D19">
        <f>[18]Process_results_C3_P2!B8+[15]Process_results_shredderC3!$B$2</f>
        <v/>
      </c>
      <c r="E19">
        <f>[18]Process_results_C3_P2!C8+[15]Process_results_shredderC3!$C$2</f>
        <v/>
      </c>
      <c r="F19">
        <f>L19</f>
        <v/>
      </c>
      <c r="G19" t="n">
        <v>0</v>
      </c>
      <c r="H19" t="n">
        <v>485.82</v>
      </c>
      <c r="I19" t="n">
        <v>41810.72</v>
      </c>
      <c r="J19" t="n">
        <v>8897.139999999999</v>
      </c>
      <c r="K19" s="1" t="n">
        <v>0</v>
      </c>
      <c r="L19">
        <f>[18]Process_results_C3_P2!D8+[15]Process_results_shredderC3!$D$2</f>
        <v/>
      </c>
      <c r="M19" s="4">
        <f>[18]Process_results_C3_P2!I8+[15]Process_results_shredderC3!$E$2</f>
        <v/>
      </c>
      <c r="N19" s="4">
        <f>[18]Process_results_C3_P2!J8+[15]Process_results_shredderC3!$F$2</f>
        <v/>
      </c>
      <c r="O19" s="4">
        <f>[18]Process_results_C3_P2!K8+[15]Process_results_shredderC3!$G$2</f>
        <v/>
      </c>
      <c r="P19" s="4">
        <f>[18]Process_results_C3_P2!L8+[15]Process_results_shredderC3!$H$2</f>
        <v/>
      </c>
      <c r="Q19" s="4">
        <f>[18]Process_results_C3_P2!M8+[15]Process_results_shredderC3!$I$2</f>
        <v/>
      </c>
    </row>
    <row r="20">
      <c r="A20" t="inlineStr">
        <is>
          <t>Wash 2</t>
        </is>
      </c>
      <c r="B20" t="inlineStr">
        <is>
          <t>PE</t>
        </is>
      </c>
      <c r="C20" t="inlineStr">
        <is>
          <t>Toluene</t>
        </is>
      </c>
      <c r="D20">
        <f>[18]Process_results_C3_P2!B9+[15]Process_results_shredderC3!$B$2</f>
        <v/>
      </c>
      <c r="E20">
        <f>[18]Process_results_C3_P2!C9+[15]Process_results_shredderC3!$C$2</f>
        <v/>
      </c>
      <c r="F20">
        <f>L20</f>
        <v/>
      </c>
      <c r="G20" t="n">
        <v>0</v>
      </c>
      <c r="H20" t="n">
        <v>588.12</v>
      </c>
      <c r="I20" t="n">
        <v>50538.24</v>
      </c>
      <c r="J20" t="n">
        <v>11716.23</v>
      </c>
      <c r="K20" s="1" t="n">
        <v>0</v>
      </c>
      <c r="L20">
        <f>[18]Process_results_C3_P2!D9+[15]Process_results_shredderC3!$D$2</f>
        <v/>
      </c>
      <c r="M20" s="4">
        <f>[18]Process_results_C3_P2!I9+[15]Process_results_shredderC3!$E$2</f>
        <v/>
      </c>
      <c r="N20" s="4">
        <f>[18]Process_results_C3_P2!J9+[15]Process_results_shredderC3!$F$2</f>
        <v/>
      </c>
      <c r="O20" s="4">
        <f>[18]Process_results_C3_P2!K9+[15]Process_results_shredderC3!$G$2</f>
        <v/>
      </c>
      <c r="P20" s="4">
        <f>[18]Process_results_C3_P2!L9+[15]Process_results_shredderC3!$H$2</f>
        <v/>
      </c>
      <c r="Q20" s="4">
        <f>[18]Process_results_C3_P2!M9+[15]Process_results_shredderC3!$I$2</f>
        <v/>
      </c>
    </row>
    <row r="21">
      <c r="A21" t="inlineStr">
        <is>
          <t>Wash 2</t>
        </is>
      </c>
      <c r="B21" t="inlineStr">
        <is>
          <t>PE</t>
        </is>
      </c>
      <c r="C21" t="inlineStr">
        <is>
          <t>Xylene</t>
        </is>
      </c>
      <c r="D21">
        <f>[18]Process_results_C3_P2!B10+[15]Process_results_shredderC3!$B$2</f>
        <v/>
      </c>
      <c r="E21">
        <f>[18]Process_results_C3_P2!C10+[15]Process_results_shredderC3!$C$2</f>
        <v/>
      </c>
      <c r="F21">
        <f>L21</f>
        <v/>
      </c>
      <c r="G21" t="n">
        <v>0</v>
      </c>
      <c r="H21" t="n">
        <v>723.9</v>
      </c>
      <c r="I21" t="n">
        <v>61892.36</v>
      </c>
      <c r="J21" t="n">
        <v>7194.85</v>
      </c>
      <c r="K21" s="1" t="n">
        <v>0</v>
      </c>
      <c r="L21">
        <f>[18]Process_results_C3_P2!D10+[15]Process_results_shredderC3!$D$2</f>
        <v/>
      </c>
      <c r="M21" s="4">
        <f>[18]Process_results_C3_P2!I10+[15]Process_results_shredderC3!$E$2</f>
        <v/>
      </c>
      <c r="N21" s="4">
        <f>[18]Process_results_C3_P2!J10+[15]Process_results_shredderC3!$F$2</f>
        <v/>
      </c>
      <c r="O21" s="4">
        <f>[18]Process_results_C3_P2!K10+[15]Process_results_shredderC3!$G$2</f>
        <v/>
      </c>
      <c r="P21" s="4">
        <f>[18]Process_results_C3_P2!L10+[15]Process_results_shredderC3!$H$2</f>
        <v/>
      </c>
      <c r="Q21" s="4">
        <f>[18]Process_results_C3_P2!M10+[15]Process_results_shredderC3!$I$2</f>
        <v/>
      </c>
    </row>
    <row r="22">
      <c r="A22" t="inlineStr">
        <is>
          <t>Wash 2</t>
        </is>
      </c>
      <c r="B22" t="inlineStr">
        <is>
          <t>EVOH</t>
        </is>
      </c>
      <c r="C22" t="inlineStr">
        <is>
          <t>butane-1,4-diol</t>
        </is>
      </c>
      <c r="D22">
        <f>[19]Process_results_C3_E2!B2+[15]Process_results_shredderC3!$B$2</f>
        <v/>
      </c>
      <c r="E22">
        <f>[19]Process_results_C3_E2!C2+[15]Process_results_shredderC3!$C$2</f>
        <v/>
      </c>
      <c r="F22">
        <f>L22</f>
        <v/>
      </c>
      <c r="G22" t="n">
        <v>0</v>
      </c>
      <c r="H22" t="n">
        <v>481.94</v>
      </c>
      <c r="I22" t="n">
        <v>41610.4</v>
      </c>
      <c r="J22" t="n">
        <v>1300.32</v>
      </c>
      <c r="K22" s="1" t="n">
        <v>0</v>
      </c>
      <c r="L22">
        <f>[19]Process_results_C3_E2!D2+[15]Process_results_shredderC3!$D$2</f>
        <v/>
      </c>
      <c r="M22" s="4">
        <f>[19]Process_results_C3_E2!I2+[15]Process_results_shredderC3!$E$2</f>
        <v/>
      </c>
      <c r="N22" s="4">
        <f>[19]Process_results_C3_E2!J2+[15]Process_results_shredderC3!$F$2</f>
        <v/>
      </c>
      <c r="O22" s="4">
        <f>[19]Process_results_C3_E2!K2+[15]Process_results_shredderC3!$G$2</f>
        <v/>
      </c>
      <c r="P22" s="4">
        <f>[19]Process_results_C3_E2!L2+[15]Process_results_shredderC3!$H$2</f>
        <v/>
      </c>
      <c r="Q22" s="4">
        <f>[19]Process_results_C3_E2!M2+[15]Process_results_shredderC3!$I$2</f>
        <v/>
      </c>
    </row>
    <row r="23">
      <c r="A23" t="inlineStr">
        <is>
          <t>Wash 2</t>
        </is>
      </c>
      <c r="B23" t="inlineStr">
        <is>
          <t>EVOH</t>
        </is>
      </c>
      <c r="C23" t="inlineStr">
        <is>
          <t>Diethanolamine</t>
        </is>
      </c>
      <c r="D23">
        <f>[19]Process_results_C3_E2!B3+[15]Process_results_shredderC3!$B$2</f>
        <v/>
      </c>
      <c r="E23">
        <f>[19]Process_results_C3_E2!C3+[15]Process_results_shredderC3!$C$2</f>
        <v/>
      </c>
      <c r="F23">
        <f>L23</f>
        <v/>
      </c>
      <c r="G23" t="n">
        <v>0</v>
      </c>
      <c r="H23" t="n">
        <v>634.14</v>
      </c>
      <c r="I23" t="n">
        <v>54352.05</v>
      </c>
      <c r="J23" t="n">
        <v>1159.6</v>
      </c>
      <c r="K23" s="1" t="n">
        <v>0</v>
      </c>
      <c r="L23">
        <f>[19]Process_results_C3_E2!D3+[15]Process_results_shredderC3!$D$2</f>
        <v/>
      </c>
      <c r="M23" s="4">
        <f>[19]Process_results_C3_E2!I3+[15]Process_results_shredderC3!$E$2</f>
        <v/>
      </c>
      <c r="N23" s="4">
        <f>[19]Process_results_C3_E2!J3+[15]Process_results_shredderC3!$F$2</f>
        <v/>
      </c>
      <c r="O23" s="4">
        <f>[19]Process_results_C3_E2!K3+[15]Process_results_shredderC3!$G$2</f>
        <v/>
      </c>
      <c r="P23" s="4">
        <f>[19]Process_results_C3_E2!L3+[15]Process_results_shredderC3!$H$2</f>
        <v/>
      </c>
      <c r="Q23" s="4">
        <f>[19]Process_results_C3_E2!M3+[15]Process_results_shredderC3!$I$2</f>
        <v/>
      </c>
    </row>
    <row r="24">
      <c r="A24" t="inlineStr">
        <is>
          <t>Wash 2</t>
        </is>
      </c>
      <c r="B24" t="inlineStr">
        <is>
          <t>EVOH</t>
        </is>
      </c>
      <c r="C24" t="inlineStr">
        <is>
          <t>Diethylene glycol</t>
        </is>
      </c>
      <c r="D24">
        <f>[19]Process_results_C3_E2!B4+[15]Process_results_shredderC3!$B$2</f>
        <v/>
      </c>
      <c r="E24">
        <f>[19]Process_results_C3_E2!C4+[15]Process_results_shredderC3!$C$2</f>
        <v/>
      </c>
      <c r="F24">
        <f>L24</f>
        <v/>
      </c>
      <c r="G24" t="n">
        <v>0</v>
      </c>
      <c r="H24" t="n">
        <v>517.25</v>
      </c>
      <c r="I24" t="n">
        <v>44366.54</v>
      </c>
      <c r="J24" t="n">
        <v>1138.81</v>
      </c>
      <c r="K24" s="1" t="n">
        <v>0</v>
      </c>
      <c r="L24">
        <f>[19]Process_results_C3_E2!D4+[15]Process_results_shredderC3!$D$2</f>
        <v/>
      </c>
      <c r="M24" s="4">
        <f>[19]Process_results_C3_E2!I4+[15]Process_results_shredderC3!$E$2</f>
        <v/>
      </c>
      <c r="N24" s="4">
        <f>[19]Process_results_C3_E2!J4+[15]Process_results_shredderC3!$F$2</f>
        <v/>
      </c>
      <c r="O24" s="4">
        <f>[19]Process_results_C3_E2!K4+[15]Process_results_shredderC3!$G$2</f>
        <v/>
      </c>
      <c r="P24" s="4">
        <f>[19]Process_results_C3_E2!L4+[15]Process_results_shredderC3!$H$2</f>
        <v/>
      </c>
      <c r="Q24" s="4">
        <f>[19]Process_results_C3_E2!M4+[15]Process_results_shredderC3!$I$2</f>
        <v/>
      </c>
    </row>
    <row r="25">
      <c r="A25" t="inlineStr">
        <is>
          <t>Wash 2</t>
        </is>
      </c>
      <c r="B25" t="inlineStr">
        <is>
          <t>EVOH</t>
        </is>
      </c>
      <c r="C25" t="inlineStr">
        <is>
          <t>Ethylene Glycol</t>
        </is>
      </c>
      <c r="D25">
        <f>[19]Process_results_C3_E2!B5+[15]Process_results_shredderC3!$B$2</f>
        <v/>
      </c>
      <c r="E25">
        <f>[19]Process_results_C3_E2!C5+[15]Process_results_shredderC3!$C$2</f>
        <v/>
      </c>
      <c r="F25">
        <f>L25</f>
        <v/>
      </c>
      <c r="G25" t="n">
        <v>0</v>
      </c>
      <c r="H25" t="n">
        <v>565</v>
      </c>
      <c r="I25" t="n">
        <v>49348.09</v>
      </c>
      <c r="J25" t="n">
        <v>1132.86</v>
      </c>
      <c r="K25" s="1" t="n">
        <v>0</v>
      </c>
      <c r="L25">
        <f>[19]Process_results_C3_E2!D5+[15]Process_results_shredderC3!$D$2</f>
        <v/>
      </c>
      <c r="M25" s="4">
        <f>[19]Process_results_C3_E2!I5+[15]Process_results_shredderC3!$E$2</f>
        <v/>
      </c>
      <c r="N25" s="4">
        <f>[19]Process_results_C3_E2!J5+[15]Process_results_shredderC3!$F$2</f>
        <v/>
      </c>
      <c r="O25" s="4">
        <f>[19]Process_results_C3_E2!K5+[15]Process_results_shredderC3!$G$2</f>
        <v/>
      </c>
      <c r="P25" s="4">
        <f>[19]Process_results_C3_E2!L5+[15]Process_results_shredderC3!$H$2</f>
        <v/>
      </c>
      <c r="Q25" s="4">
        <f>[19]Process_results_C3_E2!M5+[15]Process_results_shredderC3!$I$2</f>
        <v/>
      </c>
    </row>
    <row r="26">
      <c r="A26" t="inlineStr">
        <is>
          <t>Wash 2</t>
        </is>
      </c>
      <c r="B26" t="inlineStr">
        <is>
          <t>EVOH</t>
        </is>
      </c>
      <c r="C26" t="inlineStr">
        <is>
          <t>Propylene Glycol</t>
        </is>
      </c>
      <c r="D26">
        <f>[19]Process_results_C3_E2!B6+[15]Process_results_shredderC3!$B$2</f>
        <v/>
      </c>
      <c r="E26">
        <f>[19]Process_results_C3_E2!C6+[15]Process_results_shredderC3!$C$2</f>
        <v/>
      </c>
      <c r="F26">
        <f>L26</f>
        <v/>
      </c>
      <c r="G26" t="n">
        <v>0</v>
      </c>
      <c r="H26" t="n">
        <v>510.74</v>
      </c>
      <c r="I26" t="n">
        <v>44465.78</v>
      </c>
      <c r="J26" t="n">
        <v>1202.77</v>
      </c>
      <c r="K26" s="1" t="n">
        <v>0</v>
      </c>
      <c r="L26">
        <f>[19]Process_results_C3_E2!D6+[15]Process_results_shredderC3!$D$2</f>
        <v/>
      </c>
      <c r="M26" s="4">
        <f>[19]Process_results_C3_E2!I6+[15]Process_results_shredderC3!$E$2</f>
        <v/>
      </c>
      <c r="N26" s="4">
        <f>[19]Process_results_C3_E2!J6+[15]Process_results_shredderC3!$F$2</f>
        <v/>
      </c>
      <c r="O26" s="4">
        <f>[19]Process_results_C3_E2!K6+[15]Process_results_shredderC3!$G$2</f>
        <v/>
      </c>
      <c r="P26" s="4">
        <f>[19]Process_results_C3_E2!L6+[15]Process_results_shredderC3!$H$2</f>
        <v/>
      </c>
      <c r="Q26" s="4">
        <f>[19]Process_results_C3_E2!M6+[15]Process_results_shredderC3!$I$2</f>
        <v/>
      </c>
    </row>
    <row r="27">
      <c r="A27" t="inlineStr">
        <is>
          <t>Wash 2</t>
        </is>
      </c>
      <c r="B27" t="inlineStr">
        <is>
          <t>EVOH</t>
        </is>
      </c>
      <c r="C27" t="inlineStr">
        <is>
          <t>Pyridazine</t>
        </is>
      </c>
      <c r="D27">
        <f>[19]Process_results_C3_E2!B7+[15]Process_results_shredderC3!$B$2</f>
        <v/>
      </c>
      <c r="E27">
        <f>[19]Process_results_C3_E2!C7+[15]Process_results_shredderC3!$C$2</f>
        <v/>
      </c>
      <c r="F27">
        <f>L27</f>
        <v/>
      </c>
      <c r="G27" t="n">
        <v>0</v>
      </c>
      <c r="H27" t="n">
        <v>342.82</v>
      </c>
      <c r="I27" t="n">
        <v>29775.3</v>
      </c>
      <c r="J27" t="n">
        <v>1332.07</v>
      </c>
      <c r="K27" s="1" t="n">
        <v>0</v>
      </c>
      <c r="L27">
        <f>[19]Process_results_C3_E2!D7+[15]Process_results_shredderC3!$D$2</f>
        <v/>
      </c>
      <c r="M27" s="4">
        <f>[19]Process_results_C3_E2!I7+[15]Process_results_shredderC3!$E$2</f>
        <v/>
      </c>
      <c r="N27" s="4">
        <f>[19]Process_results_C3_E2!J7+[15]Process_results_shredderC3!$F$2</f>
        <v/>
      </c>
      <c r="O27" s="4">
        <f>[19]Process_results_C3_E2!K7+[15]Process_results_shredderC3!$G$2</f>
        <v/>
      </c>
      <c r="P27" s="4">
        <f>[19]Process_results_C3_E2!L7+[15]Process_results_shredderC3!$H$2</f>
        <v/>
      </c>
      <c r="Q27" s="4">
        <f>[19]Process_results_C3_E2!M7+[15]Process_results_shredderC3!$I$2</f>
        <v/>
      </c>
    </row>
    <row r="28">
      <c r="A28" t="inlineStr">
        <is>
          <t>Wash 2</t>
        </is>
      </c>
      <c r="B28" t="inlineStr">
        <is>
          <t>EVOH</t>
        </is>
      </c>
      <c r="C28" t="inlineStr">
        <is>
          <t>gamma-butyrolactone</t>
        </is>
      </c>
      <c r="D28">
        <f>[19]Process_results_C3_E2!B8+[15]Process_results_shredderC3!$B$2</f>
        <v/>
      </c>
      <c r="E28">
        <f>[19]Process_results_C3_E2!C8+[15]Process_results_shredderC3!$C$2</f>
        <v/>
      </c>
      <c r="F28">
        <f>L28</f>
        <v/>
      </c>
      <c r="G28" t="n">
        <v>0</v>
      </c>
      <c r="H28" t="n">
        <v>354.13</v>
      </c>
      <c r="I28" t="n">
        <v>30701.09</v>
      </c>
      <c r="J28" t="n">
        <v>1154.61</v>
      </c>
      <c r="K28" s="1" t="n">
        <v>0</v>
      </c>
      <c r="L28">
        <f>[19]Process_results_C3_E2!D8+[15]Process_results_shredderC3!$D$2</f>
        <v/>
      </c>
      <c r="M28" s="4">
        <f>[19]Process_results_C3_E2!I8+[15]Process_results_shredderC3!$E$2</f>
        <v/>
      </c>
      <c r="N28" s="4">
        <f>[19]Process_results_C3_E2!J8+[15]Process_results_shredderC3!$F$2</f>
        <v/>
      </c>
      <c r="O28" s="4">
        <f>[19]Process_results_C3_E2!K8+[15]Process_results_shredderC3!$G$2</f>
        <v/>
      </c>
      <c r="P28" s="4">
        <f>[19]Process_results_C3_E2!L8+[15]Process_results_shredderC3!$H$2</f>
        <v/>
      </c>
      <c r="Q28" s="4">
        <f>[19]Process_results_C3_E2!M8+[15]Process_results_shredderC3!$I$2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M43"/>
  <sheetViews>
    <sheetView workbookViewId="0">
      <selection activeCell="A1" sqref="A1"/>
    </sheetView>
  </sheetViews>
  <sheetFormatPr baseColWidth="10" defaultRowHeight="16"/>
  <cols>
    <col width="23.33203125" customWidth="1" min="8" max="8"/>
  </cols>
  <sheetData>
    <row r="2">
      <c r="A2" t="inlineStr">
        <is>
          <t>New</t>
        </is>
      </c>
    </row>
    <row r="3">
      <c r="A3" t="inlineStr">
        <is>
          <t>Waste generated - Non Hazardous [kg/ton]</t>
        </is>
      </c>
    </row>
    <row r="4">
      <c r="A4" t="n">
        <v>1000</v>
      </c>
      <c r="E4" t="n">
        <v>4</v>
      </c>
    </row>
    <row r="5">
      <c r="A5" t="n">
        <v>0.1</v>
      </c>
      <c r="E5" t="n">
        <v>1.81</v>
      </c>
    </row>
    <row r="6">
      <c r="A6" t="n">
        <v>250</v>
      </c>
      <c r="E6" t="n">
        <v>0.6</v>
      </c>
    </row>
    <row r="7">
      <c r="A7">
        <f>E7*1000</f>
        <v/>
      </c>
      <c r="E7" s="27">
        <f>(387.663)/1000</f>
        <v/>
      </c>
    </row>
    <row r="8">
      <c r="A8" t="n">
        <v>820.9150326797385</v>
      </c>
      <c r="E8" s="27">
        <f>2.512*1000/(3.06*1000)</f>
        <v/>
      </c>
    </row>
    <row r="9">
      <c r="A9" t="n">
        <v>1046.40522875817</v>
      </c>
      <c r="E9" s="27">
        <f>3.202*1000/(3.06*1000)</f>
        <v/>
      </c>
    </row>
    <row r="16">
      <c r="G16" t="inlineStr">
        <is>
          <t>PE</t>
        </is>
      </c>
      <c r="H16" t="inlineStr">
        <is>
          <t>sec-Butyl Acetate</t>
        </is>
      </c>
      <c r="I16" s="29" t="n">
        <v>2212872.264</v>
      </c>
      <c r="J16" s="29" t="n">
        <v>2119984.78</v>
      </c>
      <c r="K16" s="4">
        <f>I16+J16</f>
        <v/>
      </c>
    </row>
    <row r="17">
      <c r="G17" t="inlineStr">
        <is>
          <t>PE</t>
        </is>
      </c>
      <c r="H17" t="inlineStr">
        <is>
          <t>Isobutyl Acetate</t>
        </is>
      </c>
      <c r="I17" s="29" t="n">
        <v>2218620.387</v>
      </c>
      <c r="J17" s="29" t="n">
        <v>2121724.51</v>
      </c>
      <c r="K17" s="4">
        <f>I17+J17</f>
        <v/>
      </c>
    </row>
    <row r="18">
      <c r="G18" t="inlineStr">
        <is>
          <t>PE</t>
        </is>
      </c>
      <c r="H18" t="inlineStr">
        <is>
          <t>Tetrachloroethylene</t>
        </is>
      </c>
      <c r="I18" s="29" t="n">
        <v>1954380.258</v>
      </c>
      <c r="J18" s="29" t="n">
        <v>2010549.25</v>
      </c>
      <c r="K18" s="4">
        <f>I18+J18</f>
        <v/>
      </c>
    </row>
    <row r="19">
      <c r="G19" t="inlineStr">
        <is>
          <t>PE</t>
        </is>
      </c>
      <c r="H19" t="inlineStr">
        <is>
          <t>o-Chlorotoluene</t>
        </is>
      </c>
      <c r="I19" s="29" t="n">
        <v>2144665.1695</v>
      </c>
      <c r="J19" s="29" t="n">
        <v>2098248.32</v>
      </c>
      <c r="K19" s="4">
        <f>I19+J19</f>
        <v/>
      </c>
    </row>
    <row r="20">
      <c r="G20" t="inlineStr">
        <is>
          <t>PE</t>
        </is>
      </c>
      <c r="H20" t="inlineStr">
        <is>
          <t>Methylcyclohexane</t>
        </is>
      </c>
      <c r="I20" s="29" t="n">
        <v>2253826.736</v>
      </c>
      <c r="J20" s="29" t="n">
        <v>2131438.05</v>
      </c>
      <c r="K20" s="4">
        <f>I20+J20</f>
        <v/>
      </c>
      <c r="L20" s="4">
        <f>MIN(K16:K26)</f>
        <v/>
      </c>
    </row>
    <row r="21">
      <c r="G21" t="inlineStr">
        <is>
          <t>PE</t>
        </is>
      </c>
      <c r="H21" t="inlineStr">
        <is>
          <t>Dodecanol</t>
        </is>
      </c>
      <c r="I21" s="29" t="n">
        <v>2416191.447</v>
      </c>
      <c r="J21" s="29" t="n">
        <v>2258339.09</v>
      </c>
      <c r="K21" s="4">
        <f>I21+J21</f>
        <v/>
      </c>
      <c r="L21" s="4">
        <f>MIN(K36:K42)</f>
        <v/>
      </c>
    </row>
    <row r="22">
      <c r="G22" t="inlineStr">
        <is>
          <t>PE</t>
        </is>
      </c>
      <c r="H22" t="inlineStr">
        <is>
          <t>Heptane</t>
        </is>
      </c>
      <c r="I22" s="29" t="n">
        <v>2326295.945</v>
      </c>
      <c r="J22" s="29" t="n">
        <v>2160852.37</v>
      </c>
      <c r="K22" s="4">
        <f>I22+J22</f>
        <v/>
      </c>
      <c r="M22" s="4">
        <f>K29+K25</f>
        <v/>
      </c>
    </row>
    <row r="23">
      <c r="G23" t="inlineStr">
        <is>
          <t>PE</t>
        </is>
      </c>
      <c r="H23" t="inlineStr">
        <is>
          <t>Toluene</t>
        </is>
      </c>
      <c r="I23" s="29" t="n">
        <v>2517981.5595</v>
      </c>
      <c r="J23" s="29" t="n">
        <v>2252782.32</v>
      </c>
      <c r="K23" s="4">
        <f>I23+J23</f>
        <v/>
      </c>
    </row>
    <row r="24">
      <c r="G24" t="inlineStr">
        <is>
          <t>PE</t>
        </is>
      </c>
      <c r="H24" t="inlineStr">
        <is>
          <t>Xylene</t>
        </is>
      </c>
      <c r="I24" s="29" t="n">
        <v>2221161.2565</v>
      </c>
      <c r="J24" s="29" t="n">
        <v>2127790.37</v>
      </c>
      <c r="K24" s="4">
        <f>I24+J24</f>
        <v/>
      </c>
    </row>
    <row r="25">
      <c r="G25" t="inlineStr">
        <is>
          <t>EVOH</t>
        </is>
      </c>
      <c r="H25" t="inlineStr">
        <is>
          <t>Ethylene Glycol</t>
        </is>
      </c>
      <c r="I25" s="29" t="n">
        <v>1125121.6195</v>
      </c>
      <c r="J25" s="29" t="n">
        <v>1644561.83</v>
      </c>
      <c r="K25" s="4">
        <f>I25+J25</f>
        <v/>
      </c>
    </row>
    <row r="26">
      <c r="G26" t="inlineStr">
        <is>
          <t>EVOH</t>
        </is>
      </c>
      <c r="H26" t="inlineStr">
        <is>
          <t>Pyridazine</t>
        </is>
      </c>
      <c r="I26" s="29" t="n">
        <v>1134875.581</v>
      </c>
      <c r="J26" s="29" t="n">
        <v>1643546.46</v>
      </c>
      <c r="K26" s="4">
        <f>I26+J26</f>
        <v/>
      </c>
    </row>
    <row r="27">
      <c r="G27" t="inlineStr">
        <is>
          <t>PE</t>
        </is>
      </c>
      <c r="H27" t="inlineStr">
        <is>
          <t>sec-Butyl Acetate</t>
        </is>
      </c>
      <c r="I27" s="29" t="n">
        <v>2046560.758</v>
      </c>
      <c r="J27" s="29" t="n">
        <v>1047740.07</v>
      </c>
      <c r="K27" s="4">
        <f>I27+J27</f>
        <v/>
      </c>
      <c r="M27" s="4">
        <f>K18+K42</f>
        <v/>
      </c>
    </row>
    <row r="28">
      <c r="G28" t="inlineStr">
        <is>
          <t>PE</t>
        </is>
      </c>
      <c r="H28" t="inlineStr">
        <is>
          <t>Isobutyl Acetate</t>
        </is>
      </c>
      <c r="I28" s="29" t="n">
        <v>2059268.078</v>
      </c>
      <c r="J28" s="29" t="n">
        <v>1052268.16</v>
      </c>
      <c r="K28" s="4">
        <f>I28+J28</f>
        <v/>
      </c>
    </row>
    <row r="29">
      <c r="G29" t="inlineStr">
        <is>
          <t>PE</t>
        </is>
      </c>
      <c r="H29" t="inlineStr">
        <is>
          <t>Tetrachloroethylene</t>
        </is>
      </c>
      <c r="I29" s="29" t="n">
        <v>1787741.1595</v>
      </c>
      <c r="J29" s="29" t="n">
        <v>938269.24</v>
      </c>
      <c r="K29" s="4">
        <f>I29+J29</f>
        <v/>
      </c>
    </row>
    <row r="30">
      <c r="G30" t="inlineStr">
        <is>
          <t>PE</t>
        </is>
      </c>
      <c r="H30" t="inlineStr">
        <is>
          <t>o-Chlorotoluene</t>
        </is>
      </c>
      <c r="I30" s="29" t="n">
        <v>1984860.2135</v>
      </c>
      <c r="J30" s="29" t="n">
        <v>1028423.1</v>
      </c>
      <c r="K30" s="4">
        <f>I30+J30</f>
        <v/>
      </c>
    </row>
    <row r="31">
      <c r="G31" t="inlineStr">
        <is>
          <t>PE</t>
        </is>
      </c>
      <c r="H31" t="inlineStr">
        <is>
          <t>Methylcyclohexane</t>
        </is>
      </c>
      <c r="I31" s="29" t="n">
        <v>2087786.9975</v>
      </c>
      <c r="J31" s="29" t="n">
        <v>1059416.72</v>
      </c>
      <c r="K31" s="4">
        <f>I31+J31</f>
        <v/>
      </c>
    </row>
    <row r="32">
      <c r="G32" t="inlineStr">
        <is>
          <t>PE</t>
        </is>
      </c>
      <c r="H32" t="inlineStr">
        <is>
          <t>Dodecanol</t>
        </is>
      </c>
      <c r="I32" s="29" t="n">
        <v>2254718.1905</v>
      </c>
      <c r="J32" s="29" t="n">
        <v>1186252</v>
      </c>
      <c r="K32" s="4">
        <f>I32+J32</f>
        <v/>
      </c>
    </row>
    <row r="33">
      <c r="G33" t="inlineStr">
        <is>
          <t>PE</t>
        </is>
      </c>
      <c r="H33" t="inlineStr">
        <is>
          <t>Heptane</t>
        </is>
      </c>
      <c r="I33" s="29" t="n">
        <v>2160401.665</v>
      </c>
      <c r="J33" s="29" t="n">
        <v>1088889.16</v>
      </c>
      <c r="K33" s="4">
        <f>I33+J33</f>
        <v/>
      </c>
    </row>
    <row r="34">
      <c r="G34" t="inlineStr">
        <is>
          <t>PE</t>
        </is>
      </c>
      <c r="H34" t="inlineStr">
        <is>
          <t>Toluene</t>
        </is>
      </c>
      <c r="I34" s="29" t="n">
        <v>2349306.326</v>
      </c>
      <c r="J34" s="29" t="n">
        <v>1179441.83</v>
      </c>
      <c r="K34" s="4">
        <f>I34+J34</f>
        <v/>
      </c>
    </row>
    <row r="35">
      <c r="G35" t="inlineStr">
        <is>
          <t>PE</t>
        </is>
      </c>
      <c r="H35" t="inlineStr">
        <is>
          <t>Xylene</t>
        </is>
      </c>
      <c r="I35" s="29" t="n">
        <v>2061733.187</v>
      </c>
      <c r="J35" s="29" t="n">
        <v>1058246.06</v>
      </c>
      <c r="K35" s="4">
        <f>I35+J35</f>
        <v/>
      </c>
    </row>
    <row r="36">
      <c r="G36" t="inlineStr">
        <is>
          <t>EVOH</t>
        </is>
      </c>
      <c r="H36" t="inlineStr">
        <is>
          <t>butane-1,4-diol</t>
        </is>
      </c>
      <c r="I36" s="29" t="n">
        <v>918722.5375</v>
      </c>
      <c r="J36" s="29" t="n">
        <v>1564162.34</v>
      </c>
      <c r="K36" s="4">
        <f>I36+J36</f>
        <v/>
      </c>
    </row>
    <row r="37">
      <c r="G37" t="inlineStr">
        <is>
          <t>EVOH</t>
        </is>
      </c>
      <c r="H37" t="inlineStr">
        <is>
          <t>Diethanolamine</t>
        </is>
      </c>
      <c r="I37" s="29" t="n">
        <v>923194.2705</v>
      </c>
      <c r="J37" s="29" t="n">
        <v>1569675.01</v>
      </c>
      <c r="K37" s="4">
        <f>I37+J37</f>
        <v/>
      </c>
    </row>
    <row r="38">
      <c r="G38" t="inlineStr">
        <is>
          <t>EVOH</t>
        </is>
      </c>
      <c r="H38" t="inlineStr">
        <is>
          <t>Diethylene glycol</t>
        </is>
      </c>
      <c r="I38" s="29" t="n">
        <v>917187.544</v>
      </c>
      <c r="J38" s="29" t="n">
        <v>1565126.23</v>
      </c>
      <c r="K38" s="4">
        <f>I38+J38</f>
        <v/>
      </c>
    </row>
    <row r="39">
      <c r="G39" t="inlineStr">
        <is>
          <t>EVOH</t>
        </is>
      </c>
      <c r="H39" t="inlineStr">
        <is>
          <t>Ethylene Glycol</t>
        </is>
      </c>
      <c r="I39" s="29" t="n">
        <v>906491.328</v>
      </c>
      <c r="J39" s="29" t="n">
        <v>1558743.94</v>
      </c>
      <c r="K39" s="4">
        <f>I39+J39</f>
        <v/>
      </c>
    </row>
    <row r="40">
      <c r="G40" t="inlineStr">
        <is>
          <t>EVOH</t>
        </is>
      </c>
      <c r="H40" t="inlineStr">
        <is>
          <t>Propylene Glycol</t>
        </is>
      </c>
      <c r="I40" s="29" t="n">
        <v>918190.706</v>
      </c>
      <c r="J40" s="29" t="n">
        <v>1563115.83</v>
      </c>
      <c r="K40" s="4">
        <f>I40+J40</f>
        <v/>
      </c>
    </row>
    <row r="41">
      <c r="G41" t="inlineStr">
        <is>
          <t>EVOH</t>
        </is>
      </c>
      <c r="H41" t="inlineStr">
        <is>
          <t>Pyridazine</t>
        </is>
      </c>
      <c r="I41" s="29" t="n">
        <v>903387.8015000001</v>
      </c>
      <c r="J41" s="29" t="n">
        <v>1555710.09</v>
      </c>
      <c r="K41" s="4">
        <f>I41+J41</f>
        <v/>
      </c>
    </row>
    <row r="42">
      <c r="G42" t="inlineStr">
        <is>
          <t>EVOH</t>
        </is>
      </c>
      <c r="H42" t="inlineStr">
        <is>
          <t>gamma-butyrolactone</t>
        </is>
      </c>
      <c r="I42" s="29" t="n">
        <v>884387.1244999999</v>
      </c>
      <c r="J42" s="29" t="n">
        <v>1548701.69</v>
      </c>
      <c r="K42" s="4">
        <f>I42+J42</f>
        <v/>
      </c>
    </row>
    <row r="43">
      <c r="K43" s="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S95"/>
  <sheetViews>
    <sheetView topLeftCell="I1" zoomScaleNormal="119" workbookViewId="0">
      <selection activeCell="M3" sqref="M3"/>
    </sheetView>
  </sheetViews>
  <sheetFormatPr baseColWidth="10" defaultRowHeight="16"/>
  <cols>
    <col width="17.33203125" bestFit="1" customWidth="1" min="1" max="1"/>
    <col width="16.5" customWidth="1" min="2" max="2"/>
    <col width="15" customWidth="1" min="3" max="3"/>
    <col width="17.1640625" customWidth="1" min="4" max="4"/>
    <col width="15" customWidth="1" min="9" max="9"/>
    <col width="19.1640625" customWidth="1" min="11" max="11"/>
    <col width="15" customWidth="1" min="13" max="13"/>
    <col width="17.33203125" customWidth="1" min="14" max="14"/>
    <col width="15.33203125" customWidth="1" min="15" max="15"/>
    <col width="18.5" customWidth="1" min="17" max="17"/>
    <col width="10.83203125" customWidth="1" style="71" min="19" max="19"/>
    <col width="24" customWidth="1" min="22" max="22"/>
    <col width="21.1640625" customWidth="1" min="23" max="23"/>
    <col width="20.33203125" customWidth="1" min="24" max="24"/>
    <col width="16.1640625" customWidth="1" min="25" max="26"/>
    <col width="15" customWidth="1" min="27" max="27"/>
    <col width="15.6640625" customWidth="1" min="29" max="29"/>
    <col width="15.33203125" customWidth="1" min="30" max="30"/>
    <col width="15.1640625" customWidth="1" min="31" max="31"/>
    <col width="15" customWidth="1" min="36" max="36"/>
    <col width="13.6640625" customWidth="1" min="37" max="37"/>
    <col width="14.33203125" customWidth="1" min="38" max="38"/>
    <col width="18.33203125" customWidth="1" min="41" max="41"/>
    <col width="14.5" customWidth="1" min="42" max="42"/>
    <col width="15.1640625" customWidth="1" min="44" max="44"/>
    <col width="12.6640625" customWidth="1" min="45" max="45"/>
  </cols>
  <sheetData>
    <row r="2">
      <c r="A2" t="inlineStr">
        <is>
          <t xml:space="preserve">For Scenario 1 </t>
        </is>
      </c>
      <c r="C2" t="inlineStr">
        <is>
          <t xml:space="preserve">max CE </t>
        </is>
      </c>
      <c r="D2" t="n">
        <v>0.32</v>
      </c>
      <c r="J2" t="inlineStr">
        <is>
          <t xml:space="preserve">try </t>
        </is>
      </c>
      <c r="AO2" t="inlineStr">
        <is>
          <t>location scenarios</t>
        </is>
      </c>
      <c r="AP2" t="inlineStr">
        <is>
          <t>energy</t>
        </is>
      </c>
      <c r="AQ2" t="inlineStr">
        <is>
          <t>ghg</t>
        </is>
      </c>
      <c r="AR2" t="inlineStr">
        <is>
          <t>w-withdrawal</t>
        </is>
      </c>
      <c r="AS2" t="inlineStr">
        <is>
          <t>waste</t>
        </is>
      </c>
    </row>
    <row r="3" ht="19" customHeight="1">
      <c r="D3" t="inlineStr">
        <is>
          <t>if constraint &gt;= 0.6 then 0.67</t>
        </is>
      </c>
      <c r="J3" t="inlineStr">
        <is>
          <t>CE*1000</t>
        </is>
      </c>
      <c r="V3" t="inlineStr">
        <is>
          <t>Scenario A</t>
        </is>
      </c>
      <c r="AB3" t="inlineStr">
        <is>
          <t>Scenario B</t>
        </is>
      </c>
      <c r="AI3" t="inlineStr">
        <is>
          <t>Scenario C</t>
        </is>
      </c>
      <c r="AO3" t="inlineStr">
        <is>
          <t>Scenario 1</t>
        </is>
      </c>
      <c r="AP3" s="15" t="n">
        <v>55420194.9365355</v>
      </c>
      <c r="AQ3" s="13" t="n">
        <v>21303.3598540815</v>
      </c>
      <c r="AR3" s="35" t="n">
        <v>14468.8085539495</v>
      </c>
      <c r="AS3" s="15" t="n">
        <v>1917727.17791071</v>
      </c>
    </row>
    <row r="4" ht="19" customHeight="1">
      <c r="L4" s="77" t="inlineStr">
        <is>
          <t>Max Profit</t>
        </is>
      </c>
      <c r="U4" s="55" t="n"/>
      <c r="V4" s="56" t="inlineStr">
        <is>
          <t>Max Profit</t>
        </is>
      </c>
      <c r="W4" s="57" t="inlineStr">
        <is>
          <t>Min Emissions</t>
        </is>
      </c>
      <c r="X4" s="57" t="inlineStr">
        <is>
          <t>Max CE</t>
        </is>
      </c>
      <c r="AB4" s="55" t="n"/>
      <c r="AC4" s="56" t="inlineStr">
        <is>
          <t>Max Profit</t>
        </is>
      </c>
      <c r="AD4" s="57" t="inlineStr">
        <is>
          <t>Min Emissions</t>
        </is>
      </c>
      <c r="AE4" s="57" t="inlineStr">
        <is>
          <t>Max CE</t>
        </is>
      </c>
      <c r="AI4" s="55" t="n"/>
      <c r="AJ4" s="56" t="inlineStr">
        <is>
          <t>Max Profit</t>
        </is>
      </c>
      <c r="AK4" s="57" t="inlineStr">
        <is>
          <t>Min Emissions</t>
        </is>
      </c>
      <c r="AL4" s="57" t="inlineStr">
        <is>
          <t>Max CE</t>
        </is>
      </c>
      <c r="AO4" t="inlineStr">
        <is>
          <t>Scenario 2</t>
        </is>
      </c>
      <c r="AP4" s="15" t="n">
        <v>49562224.6657148</v>
      </c>
      <c r="AQ4" s="13" t="n">
        <v>17569.9475770361</v>
      </c>
      <c r="AR4" s="13" t="n">
        <v>14468.8085539495</v>
      </c>
      <c r="AS4" s="15" t="n">
        <v>1916439.7943669</v>
      </c>
    </row>
    <row r="5" ht="19" customHeight="1">
      <c r="D5" t="inlineStr">
        <is>
          <t>wash 2</t>
        </is>
      </c>
      <c r="L5" t="n">
        <v>6515394.151</v>
      </c>
      <c r="M5" s="15" t="n">
        <v>7551141.964</v>
      </c>
      <c r="N5" s="15" t="n">
        <v>6310471.791</v>
      </c>
      <c r="U5" s="58" t="inlineStr">
        <is>
          <t>Profit</t>
        </is>
      </c>
      <c r="V5" s="16" t="n">
        <v>6244167.791</v>
      </c>
      <c r="W5" s="17" t="n">
        <v>-91919.92</v>
      </c>
      <c r="X5" s="15" t="n">
        <v>5960966.6875</v>
      </c>
      <c r="AB5" s="58" t="inlineStr">
        <is>
          <t>Profit</t>
        </is>
      </c>
      <c r="AC5" s="15" t="n">
        <v>6256750.991</v>
      </c>
      <c r="AD5" s="13" t="n">
        <v>-91919.92</v>
      </c>
      <c r="AE5" s="15" t="n">
        <v>5960966.6875</v>
      </c>
      <c r="AI5" s="58" t="inlineStr">
        <is>
          <t>Profit</t>
        </is>
      </c>
      <c r="AJ5" s="15" t="n">
        <v>8869140</v>
      </c>
      <c r="AK5" s="13" t="n">
        <v>-91919.92</v>
      </c>
      <c r="AL5" s="15" t="n">
        <v>8493618.3868</v>
      </c>
      <c r="AO5" t="inlineStr">
        <is>
          <t>Scenario 3</t>
        </is>
      </c>
      <c r="AP5" s="15" t="n">
        <v>62608504.6508212</v>
      </c>
      <c r="AQ5" t="n">
        <v>20100.1787451546</v>
      </c>
      <c r="AR5" s="13" t="n">
        <v>14359.1436777591</v>
      </c>
      <c r="AS5" s="15" t="n">
        <v>1917727.17712024</v>
      </c>
    </row>
    <row r="6" ht="39" customHeight="1">
      <c r="A6" t="inlineStr">
        <is>
          <t>Scenario 2</t>
        </is>
      </c>
      <c r="D6" t="inlineStr">
        <is>
          <t>EVOH pyridazine</t>
        </is>
      </c>
      <c r="F6" t="inlineStr">
        <is>
          <t>infeasible for case 3</t>
        </is>
      </c>
      <c r="L6" s="77">
        <f>C12</f>
        <v/>
      </c>
      <c r="U6" s="59" t="inlineStr">
        <is>
          <t>Emissions</t>
        </is>
      </c>
      <c r="V6" s="17" t="n">
        <v>12330.0645241016</v>
      </c>
      <c r="W6" s="13" t="n">
        <v>691.650863654724</v>
      </c>
      <c r="X6" s="13" t="n">
        <v>6619.59742778144</v>
      </c>
      <c r="AB6" s="59" t="inlineStr">
        <is>
          <t>Emissions</t>
        </is>
      </c>
      <c r="AC6" s="17" t="n">
        <v>16351.1993968581</v>
      </c>
      <c r="AD6" s="13" t="n">
        <v>691.650863654724</v>
      </c>
      <c r="AE6" s="13" t="n">
        <v>6619.59742778144</v>
      </c>
      <c r="AI6" s="59" t="inlineStr">
        <is>
          <t>Emissions</t>
        </is>
      </c>
      <c r="AJ6" s="13" t="n">
        <v>11841.3543785086</v>
      </c>
      <c r="AK6" s="13" t="n">
        <v>691.650863654724</v>
      </c>
      <c r="AL6" s="13" t="n">
        <v>5898.31570037374</v>
      </c>
    </row>
    <row r="7" ht="19" customHeight="1">
      <c r="L7" s="77">
        <f>C14</f>
        <v/>
      </c>
      <c r="U7" s="59" t="inlineStr">
        <is>
          <t>CE</t>
        </is>
      </c>
      <c r="V7" s="13">
        <f>577774.940750356/1000000</f>
        <v/>
      </c>
      <c r="W7" s="17">
        <f>606548.261207768/1000000</f>
        <v/>
      </c>
      <c r="X7" s="17">
        <f>727766.667951268/1000000</f>
        <v/>
      </c>
      <c r="AB7" s="59" t="inlineStr">
        <is>
          <t>CE</t>
        </is>
      </c>
      <c r="AC7" s="17">
        <f> 499368.792474627/1000000</f>
        <v/>
      </c>
      <c r="AD7" s="17">
        <f>606548.261207768/1000000</f>
        <v/>
      </c>
      <c r="AE7" s="17">
        <f>727766.667951277/1000000</f>
        <v/>
      </c>
      <c r="AI7" s="59" t="inlineStr">
        <is>
          <t>CE</t>
        </is>
      </c>
      <c r="AJ7" s="17">
        <f>562792.446017788/1000000</f>
        <v/>
      </c>
      <c r="AK7" s="17">
        <f>606548.261207768/1000000</f>
        <v/>
      </c>
      <c r="AL7" s="17">
        <f>727529.107687184/1000000</f>
        <v/>
      </c>
      <c r="AQ7" s="74" t="n"/>
    </row>
    <row r="8">
      <c r="A8" t="inlineStr">
        <is>
          <t>Scenario 3</t>
        </is>
      </c>
      <c r="D8" t="inlineStr">
        <is>
          <t>EVOH gammabuty</t>
        </is>
      </c>
      <c r="L8" s="77" t="inlineStr">
        <is>
          <t xml:space="preserve">Max CE </t>
        </is>
      </c>
      <c r="V8" t="inlineStr">
        <is>
          <t>Pe tetra+EVOH gamma+we</t>
        </is>
      </c>
      <c r="W8" t="inlineStr">
        <is>
          <t>lf</t>
        </is>
      </c>
      <c r="X8" t="inlineStr">
        <is>
          <t>p tetra+Evoh pyri+lf</t>
        </is>
      </c>
      <c r="AC8" t="inlineStr">
        <is>
          <t>Pe tetra+EVOH gamma+gash2</t>
        </is>
      </c>
      <c r="AD8" t="inlineStr">
        <is>
          <t>lf</t>
        </is>
      </c>
      <c r="AE8" t="inlineStr">
        <is>
          <t>p tetra+Evoh pyri+lf</t>
        </is>
      </c>
      <c r="AJ8" t="inlineStr">
        <is>
          <t>Strap 1 (EVOH, ethylene glycol)+Strap 2 (PE tetrachloroethylene)+incineration</t>
        </is>
      </c>
      <c r="AK8" t="inlineStr">
        <is>
          <t>landfill</t>
        </is>
      </c>
      <c r="AL8" t="inlineStr">
        <is>
          <t>pe tetra+evoh pyri+lf</t>
        </is>
      </c>
    </row>
    <row r="9" ht="19" customHeight="1">
      <c r="L9">
        <f>D15</f>
        <v/>
      </c>
      <c r="M9">
        <f>K15</f>
        <v/>
      </c>
      <c r="N9">
        <f>Q15</f>
        <v/>
      </c>
      <c r="U9" s="70" t="inlineStr">
        <is>
          <t>Energy</t>
        </is>
      </c>
      <c r="V9" s="13" t="n">
        <v>0.363278816676827</v>
      </c>
      <c r="W9" s="13" t="n">
        <v>0.560700685383001</v>
      </c>
      <c r="X9" s="13" t="n">
        <v>0.360931834159156</v>
      </c>
      <c r="AB9" s="70" t="inlineStr">
        <is>
          <t>Energy</t>
        </is>
      </c>
      <c r="AC9" s="72" t="n">
        <v>0.261948669471363</v>
      </c>
      <c r="AD9" s="72" t="n">
        <v>0.565208056278813</v>
      </c>
      <c r="AE9" s="72" t="n">
        <v>0.393628975466638</v>
      </c>
      <c r="AR9" s="74" t="n"/>
    </row>
    <row r="10" ht="19" customHeight="1">
      <c r="U10" s="70" t="inlineStr">
        <is>
          <t>GHG</t>
        </is>
      </c>
      <c r="V10" s="13" t="n">
        <v>0.421215028589117</v>
      </c>
      <c r="W10" s="13" t="n">
        <v>0.967533249760027</v>
      </c>
      <c r="X10" s="13" t="n">
        <v>0.689269792505778</v>
      </c>
      <c r="AB10" s="70" t="inlineStr">
        <is>
          <t>GHG</t>
        </is>
      </c>
      <c r="AC10" s="72" t="n">
        <v>0.232459128097327</v>
      </c>
      <c r="AD10" s="72" t="n">
        <v>0.967533249760027</v>
      </c>
      <c r="AE10" s="72" t="n">
        <v>0.689269792505845</v>
      </c>
      <c r="AJ10" s="13" t="inlineStr">
        <is>
          <t>E_score:0.32920838627245796</t>
        </is>
      </c>
      <c r="AL10" s="13" t="inlineStr">
        <is>
          <t>E_score:0.35678925046736343</t>
        </is>
      </c>
    </row>
    <row r="11" ht="19" customHeight="1">
      <c r="A11" t="inlineStr">
        <is>
          <t>Scenario 1</t>
        </is>
      </c>
      <c r="H11" t="inlineStr">
        <is>
          <t>Scenario 2</t>
        </is>
      </c>
      <c r="U11" s="70" t="inlineStr">
        <is>
          <t>Water</t>
        </is>
      </c>
      <c r="V11" s="13" t="n">
        <v>0.305441535994065</v>
      </c>
      <c r="W11" s="13" t="n">
        <v>1</v>
      </c>
      <c r="X11" s="13" t="n">
        <v>0.974990656970681</v>
      </c>
      <c r="AB11" s="70" t="inlineStr">
        <is>
          <t>Water</t>
        </is>
      </c>
      <c r="AC11" s="72" t="n">
        <v>0.756405854245439</v>
      </c>
      <c r="AD11" s="72" t="n">
        <v>1</v>
      </c>
      <c r="AE11" s="72" t="n">
        <v>0.97779948508615</v>
      </c>
      <c r="AJ11" s="13" t="inlineStr">
        <is>
          <t>GHG_score:0.44415554825079806</t>
        </is>
      </c>
      <c r="AL11" s="13" t="inlineStr">
        <is>
          <t>GHG_score:0.7231274437096047</t>
        </is>
      </c>
    </row>
    <row r="12" ht="19" customHeight="1">
      <c r="A12" s="55" t="n"/>
      <c r="B12" s="56" t="inlineStr">
        <is>
          <t>Max Profit</t>
        </is>
      </c>
      <c r="C12" s="57" t="inlineStr">
        <is>
          <t>Min Emissions</t>
        </is>
      </c>
      <c r="D12" s="57" t="inlineStr">
        <is>
          <t>Max CE (w Emissions and Profit)</t>
        </is>
      </c>
      <c r="H12" s="55" t="n"/>
      <c r="I12" s="56" t="inlineStr">
        <is>
          <t>Max Profit</t>
        </is>
      </c>
      <c r="J12" s="57" t="inlineStr">
        <is>
          <t>Min Emissions</t>
        </is>
      </c>
      <c r="K12" s="57" t="inlineStr">
        <is>
          <t>Max CE (w Emissions and Profit)</t>
        </is>
      </c>
      <c r="N12" t="inlineStr">
        <is>
          <t>Scenario 3</t>
        </is>
      </c>
      <c r="O12" s="56" t="inlineStr">
        <is>
          <t>Max Profit</t>
        </is>
      </c>
      <c r="P12" s="57" t="inlineStr">
        <is>
          <t>Min Emissions</t>
        </is>
      </c>
      <c r="Q12" s="57" t="inlineStr">
        <is>
          <t>Max CE</t>
        </is>
      </c>
      <c r="U12" s="70" t="inlineStr">
        <is>
          <t>Waste</t>
        </is>
      </c>
      <c r="V12" s="13" t="n">
        <v>0.9984831215589201</v>
      </c>
      <c r="W12" s="13" t="n">
        <v>0.5</v>
      </c>
      <c r="X12" s="13" t="n">
        <v>0.848499439037796</v>
      </c>
      <c r="AB12" s="70" t="inlineStr">
        <is>
          <t>Waste</t>
        </is>
      </c>
      <c r="AC12" s="72" t="n">
        <v>0.5</v>
      </c>
      <c r="AD12" s="72" t="n">
        <v>0.5</v>
      </c>
      <c r="AE12" s="72" t="n">
        <v>0.848502291666694</v>
      </c>
      <c r="AJ12" s="13" t="inlineStr">
        <is>
          <t>Water_score:0.2963930485485831</t>
        </is>
      </c>
      <c r="AL12" s="13" t="inlineStr">
        <is>
          <t>Water_score:0.9795937586028809</t>
        </is>
      </c>
    </row>
    <row r="13" ht="19" customHeight="1">
      <c r="A13" s="58" t="inlineStr">
        <is>
          <t>Profit</t>
        </is>
      </c>
      <c r="B13" s="15" t="n">
        <v>6515394.151</v>
      </c>
      <c r="C13" s="13" t="n">
        <v>-62687.92</v>
      </c>
      <c r="D13" s="15" t="n">
        <v>6223849.1835</v>
      </c>
      <c r="H13" s="58" t="inlineStr">
        <is>
          <t>Profit</t>
        </is>
      </c>
      <c r="I13" s="15" t="n">
        <v>7551141.964</v>
      </c>
      <c r="J13" s="13" t="n">
        <v>-62687.92</v>
      </c>
      <c r="K13" s="15" t="n">
        <v>7240041.162</v>
      </c>
      <c r="N13" s="58" t="inlineStr">
        <is>
          <t>Profit</t>
        </is>
      </c>
      <c r="O13" s="15" t="n">
        <v>6310471.791</v>
      </c>
      <c r="P13" s="13" t="n">
        <v>-62687.92</v>
      </c>
      <c r="Q13" s="15" t="n">
        <v>6003448.2875</v>
      </c>
      <c r="U13" s="70" t="inlineStr">
        <is>
          <t>Subs</t>
        </is>
      </c>
      <c r="V13" s="13" t="n">
        <v>0.746030310559006</v>
      </c>
      <c r="W13" s="13" t="n">
        <v>0</v>
      </c>
      <c r="X13" s="13" t="n">
        <v>0.729632795031055</v>
      </c>
      <c r="AB13" s="70" t="inlineStr">
        <is>
          <t>Subs</t>
        </is>
      </c>
      <c r="AC13" s="72" t="n">
        <v>0.746030310559006</v>
      </c>
      <c r="AD13" s="72" t="n">
        <v>0</v>
      </c>
      <c r="AE13" s="72" t="n">
        <v>0.729632795031055</v>
      </c>
      <c r="AJ13" s="13" t="inlineStr">
        <is>
          <t>Waste_score:0.998174936458095</t>
        </is>
      </c>
      <c r="AL13" s="13" t="inlineStr">
        <is>
          <t>Waste_score:0.8485022906250156</t>
        </is>
      </c>
      <c r="AP13" s="15" t="n"/>
      <c r="AR13" s="13" t="n"/>
      <c r="AS13" s="4" t="n"/>
    </row>
    <row r="14" ht="19" customHeight="1">
      <c r="A14" s="59" t="inlineStr">
        <is>
          <t>Emissions</t>
        </is>
      </c>
      <c r="B14" s="17" t="n">
        <v>18963.6890130581</v>
      </c>
      <c r="C14" s="13" t="n">
        <v>652.8</v>
      </c>
      <c r="D14" s="13" t="n">
        <v>9031.05485358033</v>
      </c>
      <c r="H14" s="59" t="inlineStr">
        <is>
          <t>Emissions</t>
        </is>
      </c>
      <c r="I14" s="13" t="n">
        <v>15548.5860209036</v>
      </c>
      <c r="J14" s="13" t="n">
        <v>652.8</v>
      </c>
      <c r="K14" s="13" t="n">
        <v>5937.76868679808</v>
      </c>
      <c r="M14" s="54" t="n"/>
      <c r="N14" s="59" t="inlineStr">
        <is>
          <t>Emissions</t>
        </is>
      </c>
      <c r="O14" s="13" t="n">
        <v>16230.6878184291</v>
      </c>
      <c r="P14" s="13" t="n">
        <v>652.8</v>
      </c>
      <c r="Q14" s="13" t="n">
        <v>6607.94216868502</v>
      </c>
      <c r="AJ14" s="13" t="inlineStr">
        <is>
          <t>Subs_score:0.7460303105590064</t>
        </is>
      </c>
      <c r="AL14" s="13" t="inlineStr">
        <is>
          <t>Subs_score:0.7296327950310559</t>
        </is>
      </c>
    </row>
    <row r="15" ht="19" customHeight="1">
      <c r="A15" s="59" t="inlineStr">
        <is>
          <t>CE</t>
        </is>
      </c>
      <c r="B15" s="17">
        <f>432.038474617195/1000</f>
        <v/>
      </c>
      <c r="C15" s="17">
        <f>606.683018608157/1000</f>
        <v/>
      </c>
      <c r="D15" s="17">
        <f>674.862365213812/1000</f>
        <v/>
      </c>
      <c r="H15" s="59" t="inlineStr">
        <is>
          <t>CE</t>
        </is>
      </c>
      <c r="I15" s="17">
        <f>485.133832758975/1000</f>
        <v/>
      </c>
      <c r="J15" s="17">
        <f>606.683018608157/1000</f>
        <v/>
      </c>
      <c r="K15" s="17">
        <f>72281.7092241185/100000</f>
        <v/>
      </c>
      <c r="N15" s="59" t="inlineStr">
        <is>
          <t>CE</t>
        </is>
      </c>
      <c r="O15" s="13">
        <f>485771.265239585/1000000</f>
        <v/>
      </c>
      <c r="P15" s="17">
        <f>606.683018608157/1000</f>
        <v/>
      </c>
      <c r="Q15" s="13">
        <f>723634.505269942/1000000</f>
        <v/>
      </c>
    </row>
    <row r="16" ht="68" customHeight="1">
      <c r="A16" s="60" t="inlineStr">
        <is>
          <t>Solution</t>
        </is>
      </c>
      <c r="B16" s="61" t="inlineStr">
        <is>
          <t>st1(EVOH, ethylene)+st2(PE tetra) +gas_h2</t>
        </is>
      </c>
      <c r="C16" s="61" t="inlineStr">
        <is>
          <t>lf</t>
        </is>
      </c>
      <c r="D16" s="61" t="inlineStr">
        <is>
          <t>st1(EVOH Pyri)+st2(PE tetra)+lf</t>
        </is>
      </c>
      <c r="H16" s="60" t="inlineStr">
        <is>
          <t>Solution</t>
        </is>
      </c>
      <c r="I16" s="61" t="inlineStr">
        <is>
          <t>st1(Pe tetra)+st2(EVOH gamma) +gas_h2</t>
        </is>
      </c>
      <c r="J16" s="61" t="inlineStr">
        <is>
          <t>lf</t>
        </is>
      </c>
      <c r="K16" s="61" t="inlineStr">
        <is>
          <t>st1(PE tetra)+st2(EVOH pyri)+lf</t>
        </is>
      </c>
      <c r="N16" s="60" t="inlineStr">
        <is>
          <t>Solution</t>
        </is>
      </c>
      <c r="O16" s="61" t="inlineStr">
        <is>
          <t>st1(Pe tetra)+st2(EVOH gamma) +gas_h2</t>
        </is>
      </c>
      <c r="P16" s="61" t="inlineStr">
        <is>
          <t>lf</t>
        </is>
      </c>
      <c r="Q16" s="61" t="inlineStr">
        <is>
          <t>st1(PE tetra)+st2(EVOH pyri)+lf</t>
        </is>
      </c>
    </row>
    <row r="17" ht="19" customHeight="1">
      <c r="B17" s="1" t="n"/>
      <c r="C17" s="1" t="n"/>
      <c r="D17" s="1" t="n"/>
      <c r="V17" s="72" t="n">
        <v>777.493832937499</v>
      </c>
      <c r="W17" s="72" t="n">
        <v>12315.4004429847</v>
      </c>
      <c r="X17" s="73" t="inlineStr">
        <is>
          <t>pe tetra+evoh pyri+we</t>
        </is>
      </c>
      <c r="Y17" t="inlineStr">
        <is>
          <t>UB_just for scenario B</t>
        </is>
      </c>
      <c r="Z17" s="15" t="n">
        <v>49562224.6657148</v>
      </c>
      <c r="AC17" s="30" t="inlineStr">
        <is>
          <t xml:space="preserve">Profit </t>
        </is>
      </c>
      <c r="AD17" s="30" t="inlineStr">
        <is>
          <t>Emissions</t>
        </is>
      </c>
      <c r="AJ17" s="30" t="inlineStr">
        <is>
          <t xml:space="preserve">Profit </t>
        </is>
      </c>
      <c r="AK17" s="30" t="inlineStr">
        <is>
          <t>Emissions</t>
        </is>
      </c>
      <c r="AL17" s="30" t="inlineStr">
        <is>
          <t xml:space="preserve">Profit </t>
        </is>
      </c>
      <c r="AM17" s="30" t="inlineStr">
        <is>
          <t>Emissions</t>
        </is>
      </c>
    </row>
    <row r="18" ht="19" customHeight="1">
      <c r="V18" t="inlineStr">
        <is>
          <t xml:space="preserve">Profit </t>
        </is>
      </c>
      <c r="W18" t="inlineStr">
        <is>
          <t>Emissions</t>
        </is>
      </c>
      <c r="Z18" s="13" t="n">
        <v>17569.9475770361</v>
      </c>
      <c r="AC18" s="13" t="n">
        <v>782.093873875</v>
      </c>
      <c r="AD18" s="13">
        <f>9457.08174979932/8000</f>
        <v/>
      </c>
      <c r="AE18" t="inlineStr">
        <is>
          <t>pe tetra+EVOH gamma+gas_h2cc</t>
        </is>
      </c>
      <c r="AJ18" s="15" t="n">
        <v>8869135.849199999</v>
      </c>
      <c r="AK18" s="13" t="n">
        <v>11841.3543785086</v>
      </c>
      <c r="AL18" s="4">
        <f>AJ18/8000</f>
        <v/>
      </c>
      <c r="AM18">
        <f>AK18/8000</f>
        <v/>
      </c>
      <c r="AN18" t="inlineStr">
        <is>
          <t>st1(evoh ethylene glycol)+st2(Pe tetra)+we</t>
        </is>
      </c>
    </row>
    <row r="19" ht="19" customHeight="1">
      <c r="J19" s="76">
        <f>A11</f>
        <v/>
      </c>
      <c r="K19" s="79" t="n"/>
      <c r="L19" s="79" t="n"/>
      <c r="M19" s="76">
        <f>H11</f>
        <v/>
      </c>
      <c r="N19" s="79" t="n"/>
      <c r="O19" s="79" t="n"/>
      <c r="P19" s="76">
        <f>N12</f>
        <v/>
      </c>
      <c r="Q19" s="79" t="n"/>
      <c r="R19" s="79" t="n"/>
      <c r="V19" s="13" t="n">
        <v>780.520973854902</v>
      </c>
      <c r="W19" s="13">
        <f>12330.06452/8000</f>
        <v/>
      </c>
      <c r="X19" t="inlineStr">
        <is>
          <t>Pe tetra+EVOH gamma+we</t>
        </is>
      </c>
      <c r="AC19" s="13" t="n">
        <v>748.147976875</v>
      </c>
      <c r="AD19" s="13">
        <f>6634.26150889812/8000</f>
        <v/>
      </c>
      <c r="AE19" t="inlineStr">
        <is>
          <t>pe tetra+EVOH gamma+lf</t>
        </is>
      </c>
      <c r="AJ19" s="15" t="n">
        <v>8771959.835200001</v>
      </c>
      <c r="AK19" s="13" t="n">
        <v>11596.8983441078</v>
      </c>
      <c r="AL19" s="4">
        <f>AJ19/8000</f>
        <v/>
      </c>
      <c r="AM19">
        <f>AK19/8000</f>
        <v/>
      </c>
      <c r="AN19" t="inlineStr">
        <is>
          <t>st1(pe tetra)+st2(evoh gamma)+we</t>
        </is>
      </c>
    </row>
    <row r="20" ht="19" customHeight="1">
      <c r="A20" t="inlineStr">
        <is>
          <t>Profit</t>
        </is>
      </c>
      <c r="B20" s="4" t="n">
        <v>5613000</v>
      </c>
      <c r="D20" s="4" t="n">
        <v>5330000</v>
      </c>
      <c r="J20" s="56" t="inlineStr">
        <is>
          <t>Max Profit</t>
        </is>
      </c>
      <c r="K20" s="57" t="inlineStr">
        <is>
          <t>Min Emissions</t>
        </is>
      </c>
      <c r="L20" s="57" t="inlineStr">
        <is>
          <t xml:space="preserve">Max CE </t>
        </is>
      </c>
      <c r="M20" s="56" t="inlineStr">
        <is>
          <t>Max Profit</t>
        </is>
      </c>
      <c r="N20" s="57" t="inlineStr">
        <is>
          <t>Min Emissions</t>
        </is>
      </c>
      <c r="O20" s="57" t="inlineStr">
        <is>
          <t xml:space="preserve">Max CE </t>
        </is>
      </c>
      <c r="P20" s="56" t="inlineStr">
        <is>
          <t>Max Profit</t>
        </is>
      </c>
      <c r="Q20" s="57" t="inlineStr">
        <is>
          <t>Min Emissions</t>
        </is>
      </c>
      <c r="R20" s="57" t="inlineStr">
        <is>
          <t xml:space="preserve">Max CE </t>
        </is>
      </c>
      <c r="V20" s="13" t="n">
        <v>748.147976875</v>
      </c>
      <c r="W20" s="13">
        <f>6634.26150889811/8000</f>
        <v/>
      </c>
      <c r="X20" s="15" t="inlineStr">
        <is>
          <t>PE tetra+Evoh Gamma+lf</t>
        </is>
      </c>
      <c r="AC20" s="13" t="n">
        <v>745.1208359375</v>
      </c>
      <c r="AD20" s="13">
        <f>6619.59742778145/8000</f>
        <v/>
      </c>
      <c r="AE20" t="inlineStr">
        <is>
          <t>pe tetra+Evoh pyri+lf</t>
        </is>
      </c>
      <c r="AJ20" s="15" t="n">
        <v>8610151.873199999</v>
      </c>
      <c r="AK20" s="13" t="n">
        <v>6145.55136330509</v>
      </c>
      <c r="AL20" s="4">
        <f>AJ20/8000</f>
        <v/>
      </c>
      <c r="AM20">
        <f>AK20/8000</f>
        <v/>
      </c>
      <c r="AN20" t="inlineStr">
        <is>
          <t>st1(evoh ethylene glycol)+st2(Pe tetra)+lf</t>
        </is>
      </c>
    </row>
    <row r="21" ht="86" customHeight="1">
      <c r="A21" t="inlineStr">
        <is>
          <t>Emissions</t>
        </is>
      </c>
      <c r="B21" s="13" t="n">
        <v>12892.1702215264</v>
      </c>
      <c r="D21" t="n">
        <v>10178.2062999577</v>
      </c>
      <c r="I21" s="60" t="inlineStr">
        <is>
          <t>Solution</t>
        </is>
      </c>
      <c r="J21" s="61" t="inlineStr">
        <is>
          <t>st1(EVOH, ethylene)+st2(PE tetra) +gas_h2</t>
        </is>
      </c>
      <c r="K21" s="61" t="inlineStr">
        <is>
          <t>lf</t>
        </is>
      </c>
      <c r="L21" s="61" t="inlineStr">
        <is>
          <t>st1(EVOH Pyri)+st2(PE tetra)+lf</t>
        </is>
      </c>
      <c r="M21" s="61" t="inlineStr">
        <is>
          <t>st1(Pe tetra)+st2(EVOH gamma) +gas_h2</t>
        </is>
      </c>
      <c r="N21" s="61" t="inlineStr">
        <is>
          <t>lf</t>
        </is>
      </c>
      <c r="O21" s="61" t="inlineStr">
        <is>
          <t>st1(PE tetra)+st2(EVOH pyri)+lf</t>
        </is>
      </c>
      <c r="P21" s="61" t="inlineStr">
        <is>
          <t>st1(Pe tetra)+st2(EVOH gamma) +gas_h2</t>
        </is>
      </c>
      <c r="Q21" s="61" t="inlineStr">
        <is>
          <t>lf</t>
        </is>
      </c>
      <c r="R21" s="61" t="inlineStr">
        <is>
          <t>st1(PE tetra)+st2(EVOH pyri)+lf</t>
        </is>
      </c>
      <c r="V21" s="13" t="n">
        <v>745.1208359375</v>
      </c>
      <c r="W21" s="13">
        <f>6619.59742778145/8000</f>
        <v/>
      </c>
      <c r="X21" t="inlineStr">
        <is>
          <t>pe tetra+evoh pyri+lf</t>
        </is>
      </c>
      <c r="Y21" s="15" t="n"/>
      <c r="AC21" s="13" t="n">
        <v>462.373084</v>
      </c>
      <c r="AD21" s="13">
        <f>2782.13874184287/8000</f>
        <v/>
      </c>
      <c r="AE21" t="inlineStr">
        <is>
          <t>evoh pyri+lf</t>
        </is>
      </c>
      <c r="AJ21" s="15" t="n">
        <v>8512975.859200001</v>
      </c>
      <c r="AK21" s="13" t="n">
        <v>5901.09532890417</v>
      </c>
      <c r="AL21" s="4">
        <f>AJ21/8000</f>
        <v/>
      </c>
      <c r="AM21">
        <f>AK21/8000</f>
        <v/>
      </c>
      <c r="AN21" t="inlineStr">
        <is>
          <t>st1(pe tetra)+st2(evoh gamma)+lf</t>
        </is>
      </c>
    </row>
    <row r="22" ht="19" customHeight="1">
      <c r="V22" s="13" t="n">
        <v>462.373084</v>
      </c>
      <c r="W22" s="13">
        <f>2782.13874184287/8000</f>
        <v/>
      </c>
      <c r="X22" t="inlineStr">
        <is>
          <t>evoh pyri+lf</t>
        </is>
      </c>
      <c r="AC22" s="13" t="n">
        <v>-11.48999</v>
      </c>
      <c r="AD22" s="13">
        <f>691.650863654724/8000</f>
        <v/>
      </c>
      <c r="AE22" t="inlineStr">
        <is>
          <t>lf</t>
        </is>
      </c>
      <c r="AJ22" s="15" t="n">
        <v>4805389.0212</v>
      </c>
      <c r="AK22" s="13" t="n">
        <v>2540.94205409342</v>
      </c>
      <c r="AL22" s="4">
        <f>AJ22/8000</f>
        <v/>
      </c>
      <c r="AM22">
        <f>AK22/8000</f>
        <v/>
      </c>
      <c r="AN22" t="inlineStr">
        <is>
          <t>st1(evoh ethylene glycol)+lf</t>
        </is>
      </c>
    </row>
    <row r="23" ht="19" customHeight="1">
      <c r="B23" t="inlineStr">
        <is>
          <t>PE tetra, EVOH gamma+gas_h2cc</t>
        </is>
      </c>
      <c r="D23" t="inlineStr">
        <is>
          <t>PE tetra, EVOH gamma+lf</t>
        </is>
      </c>
      <c r="I23" s="56" t="inlineStr">
        <is>
          <t>Max Profit</t>
        </is>
      </c>
      <c r="J23" s="57" t="inlineStr">
        <is>
          <t>Min Emissions</t>
        </is>
      </c>
      <c r="K23" s="57" t="inlineStr">
        <is>
          <t xml:space="preserve">Max CE </t>
        </is>
      </c>
      <c r="O23" t="inlineStr">
        <is>
          <t>Max profit</t>
        </is>
      </c>
      <c r="P23" t="inlineStr">
        <is>
          <t>Min Emissions</t>
        </is>
      </c>
      <c r="Q23" t="inlineStr">
        <is>
          <t>Max CE</t>
        </is>
      </c>
      <c r="V23" s="13" t="n">
        <v>-11.48999</v>
      </c>
      <c r="W23" s="13">
        <f>691.650863654724/8000</f>
        <v/>
      </c>
      <c r="X23" t="inlineStr">
        <is>
          <t>lf</t>
        </is>
      </c>
      <c r="Y23" s="15" t="n"/>
      <c r="AJ23" s="15" t="n">
        <v>4786863.4146</v>
      </c>
      <c r="AK23" s="13" t="n">
        <v>2366.85203332794</v>
      </c>
      <c r="AL23" s="4">
        <f>AJ23/8000</f>
        <v/>
      </c>
      <c r="AM23">
        <f>AK23/8000</f>
        <v/>
      </c>
      <c r="AN23" t="inlineStr">
        <is>
          <t>st1 (evoh pyridazine)+lf</t>
        </is>
      </c>
    </row>
    <row r="24" ht="19" customHeight="1">
      <c r="H24" s="70" t="inlineStr">
        <is>
          <t>Energy</t>
        </is>
      </c>
      <c r="I24" t="n">
        <v>0.223305637238829</v>
      </c>
      <c r="J24" s="13" t="n">
        <v>0.565799579443074</v>
      </c>
      <c r="K24" s="13" t="n">
        <v>0.353505683330462</v>
      </c>
      <c r="N24" s="70" t="inlineStr">
        <is>
          <t>Energy</t>
        </is>
      </c>
      <c r="O24" s="13" t="n">
        <v>0.262421409662959</v>
      </c>
      <c r="P24" s="13" t="n">
        <v>0.565799579443074</v>
      </c>
      <c r="Q24" s="13" t="n">
        <v>0.392860317462201</v>
      </c>
      <c r="Y24" s="15" t="n"/>
      <c r="AJ24" s="13" t="n">
        <v>-91919.92</v>
      </c>
      <c r="AK24" s="13" t="n">
        <v>691.650863654724</v>
      </c>
      <c r="AL24" s="4">
        <f>AJ24/8000</f>
        <v/>
      </c>
      <c r="AM24">
        <f>AK24/8000</f>
        <v/>
      </c>
      <c r="AN24" t="inlineStr">
        <is>
          <t>lf</t>
        </is>
      </c>
    </row>
    <row r="25" ht="19" customHeight="1">
      <c r="H25" s="70" t="inlineStr">
        <is>
          <t>GHG</t>
        </is>
      </c>
      <c r="I25" s="13" t="n">
        <v>0.228656598393492</v>
      </c>
      <c r="J25" s="13" t="n">
        <v>0.967615513597714</v>
      </c>
      <c r="K25" s="13" t="n">
        <v>0.705435678159418</v>
      </c>
      <c r="N25" s="70" t="inlineStr">
        <is>
          <t>GHG</t>
        </is>
      </c>
      <c r="O25" s="13" t="n">
        <v>0.194818491183107</v>
      </c>
      <c r="P25" t="n">
        <v>0.967615513597714</v>
      </c>
      <c r="Q25" s="13" t="n">
        <v>0.672189317847928</v>
      </c>
      <c r="Y25" s="15" t="n"/>
    </row>
    <row r="26" ht="19" customHeight="1">
      <c r="H26" s="70" t="inlineStr">
        <is>
          <t>Water</t>
        </is>
      </c>
      <c r="I26" s="13" t="n">
        <v>0.727676617603549</v>
      </c>
      <c r="J26" t="n">
        <v>1</v>
      </c>
      <c r="K26" s="13" t="n">
        <v>0.977011865647238</v>
      </c>
      <c r="N26" s="70" t="inlineStr">
        <is>
          <t>Water</t>
        </is>
      </c>
      <c r="O26" s="13" t="n">
        <v>0.725586114792855</v>
      </c>
      <c r="P26" t="n">
        <v>1</v>
      </c>
      <c r="Q26" s="13" t="n">
        <v>0.974990656970683</v>
      </c>
      <c r="Y26" s="15" t="n"/>
    </row>
    <row r="27" ht="19" customHeight="1">
      <c r="H27" s="70" t="inlineStr">
        <is>
          <t>Waste</t>
        </is>
      </c>
      <c r="I27" s="13" t="n">
        <v>0.5</v>
      </c>
      <c r="J27" t="n">
        <v>0.5</v>
      </c>
      <c r="K27" s="13" t="n">
        <v>0.84849943903776</v>
      </c>
      <c r="N27" s="70" t="inlineStr">
        <is>
          <t>Waste</t>
        </is>
      </c>
      <c r="O27" s="13" t="n">
        <v>0.5</v>
      </c>
      <c r="P27" t="n">
        <v>0.5</v>
      </c>
      <c r="Q27" s="13" t="n">
        <v>0.848499439037766</v>
      </c>
      <c r="Y27" s="13" t="n"/>
    </row>
    <row r="28" ht="19" customHeight="1">
      <c r="B28" s="15" t="n">
        <v>5613069.6775</v>
      </c>
      <c r="H28" s="70" t="inlineStr">
        <is>
          <t>Subs</t>
        </is>
      </c>
      <c r="I28" s="13" t="n">
        <v>0.746030310559006</v>
      </c>
      <c r="J28" t="n">
        <v>0</v>
      </c>
      <c r="K28" s="13" t="n">
        <v>0.729632795031055</v>
      </c>
      <c r="N28" s="70" t="inlineStr">
        <is>
          <t>Subs</t>
        </is>
      </c>
      <c r="O28" s="13" t="n">
        <v>0.746030310559006</v>
      </c>
      <c r="P28" t="n">
        <v>0</v>
      </c>
      <c r="Q28" s="13" t="n">
        <v>0.729632795031055</v>
      </c>
      <c r="V28" t="inlineStr">
        <is>
          <t>Profit</t>
        </is>
      </c>
      <c r="W28" t="inlineStr">
        <is>
          <t>CE</t>
        </is>
      </c>
      <c r="AC28" s="30" t="inlineStr">
        <is>
          <t>profit</t>
        </is>
      </c>
      <c r="AD28" s="30" t="inlineStr">
        <is>
          <t>CE</t>
        </is>
      </c>
      <c r="AJ28" s="30" t="inlineStr">
        <is>
          <t>profit</t>
        </is>
      </c>
      <c r="AK28" s="30" t="inlineStr">
        <is>
          <t>CE</t>
        </is>
      </c>
      <c r="AL28">
        <f>AJ28</f>
        <v/>
      </c>
      <c r="AM28">
        <f>AK28</f>
        <v/>
      </c>
    </row>
    <row r="29" ht="19" customHeight="1">
      <c r="B29" s="13" t="n">
        <v>19786.2878685852</v>
      </c>
      <c r="V29" s="22">
        <f>6244167.791/8000</f>
        <v/>
      </c>
      <c r="W29" s="13" t="n">
        <v>0.677774940750394</v>
      </c>
      <c r="X29" t="inlineStr">
        <is>
          <t>pe tetra+evoh gamma+we</t>
        </is>
      </c>
      <c r="AC29" s="64">
        <f>6256750.991/8000</f>
        <v/>
      </c>
      <c r="AD29" s="64">
        <f>499368.792474626/1000000</f>
        <v/>
      </c>
      <c r="AE29" s="64" t="inlineStr">
        <is>
          <t>pe tetra+evoh gamma+gash2</t>
        </is>
      </c>
      <c r="AJ29" s="15" t="n">
        <v>8869135.849199999</v>
      </c>
      <c r="AK29" s="13" t="n">
        <v>0.6627924460178241</v>
      </c>
      <c r="AL29" s="75">
        <f>AJ29/8000</f>
        <v/>
      </c>
      <c r="AM29">
        <f>AK29</f>
        <v/>
      </c>
      <c r="AN29" t="inlineStr">
        <is>
          <t>st1(evoh ethylene glycol)+st2(Pe tetra_+we</t>
        </is>
      </c>
    </row>
    <row r="30" ht="19" customHeight="1">
      <c r="B30">
        <f> 333781.351262238/1000000</f>
        <v/>
      </c>
      <c r="V30" s="22">
        <f>5985183.815/8000</f>
        <v/>
      </c>
      <c r="W30" s="13" t="n">
        <v>0.727589589986966</v>
      </c>
      <c r="X30" t="inlineStr">
        <is>
          <t>pe tetra+evoh gamma+lf</t>
        </is>
      </c>
      <c r="AC30" s="13" t="n">
        <v>782.093873875</v>
      </c>
      <c r="AD30" s="13">
        <f>556857.586632455/1000000</f>
        <v/>
      </c>
      <c r="AE30" t="inlineStr">
        <is>
          <t>pe tetra+evoh gamma+gash2cc</t>
        </is>
      </c>
      <c r="AJ30" s="15" t="n">
        <v>8850610.2426</v>
      </c>
      <c r="AK30" s="13" t="n">
        <v>0.6724330743971469</v>
      </c>
      <c r="AL30" s="75">
        <f>AJ30/8000</f>
        <v/>
      </c>
      <c r="AM30">
        <f>AK30</f>
        <v/>
      </c>
      <c r="AN30" t="inlineStr">
        <is>
          <t>st1(evoh pyridazine)+st2(Pe tetra)+we</t>
        </is>
      </c>
    </row>
    <row r="31" ht="19" customHeight="1">
      <c r="B31" t="inlineStr">
        <is>
          <t>PE tetra+EVOH gamma+gas_h2</t>
        </is>
      </c>
      <c r="V31" s="22">
        <f>5960966.6875/8000</f>
        <v/>
      </c>
      <c r="W31" s="13" t="n">
        <v>0.727766667951257</v>
      </c>
      <c r="X31" t="inlineStr">
        <is>
          <t>p tetra+Evoh pyri+lf</t>
        </is>
      </c>
      <c r="AC31" s="13" t="n">
        <v>780.520973875</v>
      </c>
      <c r="AD31" s="13">
        <f>677774.940750278/1000000</f>
        <v/>
      </c>
      <c r="AE31" t="inlineStr">
        <is>
          <t>pe tetra+evoh gamma+we</t>
        </is>
      </c>
      <c r="AJ31" s="15" t="n">
        <v>8771959.835200001</v>
      </c>
      <c r="AK31" s="13" t="n">
        <v>0.677308885490146</v>
      </c>
      <c r="AL31" s="4">
        <f>AJ31/8000</f>
        <v/>
      </c>
      <c r="AM31">
        <f>AK31</f>
        <v/>
      </c>
      <c r="AN31" t="inlineStr">
        <is>
          <t>st1(pe tetra)+st2(evoh gamma)_+we</t>
        </is>
      </c>
    </row>
    <row r="32" ht="19" customHeight="1">
      <c r="AC32" s="13" t="n">
        <v>748.1479768750009</v>
      </c>
      <c r="AD32" s="13">
        <f>727589.589986921/1000000</f>
        <v/>
      </c>
      <c r="AE32" t="inlineStr">
        <is>
          <t>pe tetra+evoh gamma+lf</t>
        </is>
      </c>
      <c r="AJ32" s="15" t="n">
        <v>8610151.873199999</v>
      </c>
      <c r="AK32" s="13" t="n">
        <v>0.71265822661137</v>
      </c>
      <c r="AL32" s="4">
        <f>AJ32/8000</f>
        <v/>
      </c>
      <c r="AM32">
        <f>AK32</f>
        <v/>
      </c>
      <c r="AN32" t="inlineStr">
        <is>
          <t>st1(evoh ethylene glycol)+st2(Pe tetra_+lf</t>
        </is>
      </c>
    </row>
    <row r="33" ht="19" customHeight="1">
      <c r="AC33" s="13" t="n">
        <v>745.1208359375</v>
      </c>
      <c r="AD33" s="13">
        <f>727766.667951269/1000000</f>
        <v/>
      </c>
      <c r="AE33" t="inlineStr">
        <is>
          <t>pe tetra+evoh pyri+lf</t>
        </is>
      </c>
      <c r="AJ33" s="15" t="n">
        <v>8591626.2666</v>
      </c>
      <c r="AK33" s="13" t="n">
        <v>0.722283756668468</v>
      </c>
      <c r="AL33" s="4">
        <f>AJ33/8000</f>
        <v/>
      </c>
      <c r="AM33">
        <f>AK33</f>
        <v/>
      </c>
      <c r="AN33" t="inlineStr">
        <is>
          <t>st1(evoh pyridazine)+st2(Pe tetra)+lf</t>
        </is>
      </c>
    </row>
    <row r="34" ht="19" customHeight="1">
      <c r="A34" t="inlineStr">
        <is>
          <t>$/ton</t>
        </is>
      </c>
      <c r="B34" t="inlineStr">
        <is>
          <t>kg/ton</t>
        </is>
      </c>
      <c r="G34">
        <f>A34</f>
        <v/>
      </c>
      <c r="H34">
        <f>B34</f>
        <v/>
      </c>
      <c r="N34">
        <f>H34</f>
        <v/>
      </c>
      <c r="O34" t="inlineStr">
        <is>
          <t>kg/ton</t>
        </is>
      </c>
      <c r="AJ34" s="15" t="n">
        <v>8512975.859200001</v>
      </c>
      <c r="AK34" s="13" t="n">
        <v>0.727155619025407</v>
      </c>
      <c r="AL34" s="4">
        <f>AJ34/8000</f>
        <v/>
      </c>
      <c r="AM34">
        <f>AK34</f>
        <v/>
      </c>
      <c r="AN34" t="inlineStr">
        <is>
          <t>st1(pe tetra)+st2(evoh gamma)_+lf</t>
        </is>
      </c>
    </row>
    <row r="35" ht="19" customHeight="1">
      <c r="A35" t="inlineStr">
        <is>
          <t>cost</t>
        </is>
      </c>
      <c r="B35" t="inlineStr">
        <is>
          <t>emissions</t>
        </is>
      </c>
      <c r="G35" t="inlineStr">
        <is>
          <t>Cost</t>
        </is>
      </c>
      <c r="H35" t="inlineStr">
        <is>
          <t>emissions</t>
        </is>
      </c>
      <c r="N35" t="inlineStr">
        <is>
          <t>Cost</t>
        </is>
      </c>
      <c r="O35" t="inlineStr">
        <is>
          <t>emissions</t>
        </is>
      </c>
      <c r="V35" t="inlineStr">
        <is>
          <t>CE</t>
        </is>
      </c>
      <c r="W35" t="inlineStr">
        <is>
          <t>Emissions</t>
        </is>
      </c>
      <c r="X35" t="inlineStr">
        <is>
          <t>slns</t>
        </is>
      </c>
      <c r="AC35" s="30" t="inlineStr">
        <is>
          <t>CE</t>
        </is>
      </c>
      <c r="AD35" s="30" t="inlineStr">
        <is>
          <t>Emissions</t>
        </is>
      </c>
      <c r="AJ35" s="15" t="n">
        <v>8493618.3868</v>
      </c>
      <c r="AK35" s="13" t="n">
        <v>0.727529107677395</v>
      </c>
      <c r="AL35" s="4">
        <f>AJ35/8000</f>
        <v/>
      </c>
      <c r="AM35">
        <f>AK35</f>
        <v/>
      </c>
      <c r="AN35" s="6" t="inlineStr">
        <is>
          <t>st1(pe tetra)+st2(evoh pyridazine)_+lf</t>
        </is>
      </c>
    </row>
    <row r="36" ht="19" customHeight="1">
      <c r="A36" s="80">
        <f>B13/8000</f>
        <v/>
      </c>
      <c r="B36" s="64">
        <f>B14/8000</f>
        <v/>
      </c>
      <c r="C36" s="64">
        <f>B16</f>
        <v/>
      </c>
      <c r="G36" s="67" t="n">
        <v>943.8927455</v>
      </c>
      <c r="H36" s="67" t="n">
        <v>1.432083056534525</v>
      </c>
      <c r="I36" s="64" t="inlineStr">
        <is>
          <t>st1(Pe tetra)+st2(EVOH gamma) +we</t>
        </is>
      </c>
      <c r="K36" s="13" t="n"/>
      <c r="M36" s="15" t="n"/>
      <c r="V36" s="13" t="n">
        <v>0.6065482612077679</v>
      </c>
      <c r="W36" s="13">
        <f>691.650863654724/8000</f>
        <v/>
      </c>
      <c r="X36" t="inlineStr">
        <is>
          <t>lf</t>
        </is>
      </c>
      <c r="AC36" s="13" t="n">
        <v>0.6065482612077679</v>
      </c>
      <c r="AD36" s="13" t="n">
        <v>0.0864563579568406</v>
      </c>
      <c r="AE36" t="inlineStr">
        <is>
          <t>lf</t>
        </is>
      </c>
    </row>
    <row r="37" ht="86" customHeight="1">
      <c r="A37" s="81" t="n">
        <v>814.4242688750001</v>
      </c>
      <c r="B37" s="13" t="n">
        <v>1.50869642074991</v>
      </c>
      <c r="C37" t="inlineStr">
        <is>
          <t>evoh ethylene glycol+PE tetra+gas_h2cc</t>
        </is>
      </c>
      <c r="G37">
        <f>G36</f>
        <v/>
      </c>
      <c r="H37" s="13" t="n">
        <v>1.081808546730601</v>
      </c>
      <c r="I37" t="inlineStr">
        <is>
          <t>st1(Pe tetra)+st2(EVOH gamma) +gas_h2cc</t>
        </is>
      </c>
      <c r="K37" s="13" t="n"/>
      <c r="M37" s="15" t="n"/>
      <c r="N37" s="13" t="n">
        <v>788.808973875</v>
      </c>
      <c r="O37" s="13" t="n">
        <v>1.16707127142129</v>
      </c>
      <c r="P37" s="61" t="inlineStr">
        <is>
          <t>st1(Pe tetra)+st2(EVOH gamma) +gas_h2cc</t>
        </is>
      </c>
      <c r="V37" s="13" t="n">
        <v>0.666268589258379</v>
      </c>
      <c r="W37" s="13">
        <f>2782.13874184288/8000</f>
        <v/>
      </c>
      <c r="X37" t="inlineStr">
        <is>
          <t>evoh pyri+lf</t>
        </is>
      </c>
      <c r="AC37" s="13" t="n">
        <v>0.666268589258504</v>
      </c>
      <c r="AD37" s="13" t="n">
        <v>0.347767342730356</v>
      </c>
      <c r="AE37" t="inlineStr">
        <is>
          <t>evoh pyri+lf</t>
        </is>
      </c>
      <c r="AJ37" s="30" t="inlineStr">
        <is>
          <t>CE</t>
        </is>
      </c>
      <c r="AK37" s="30" t="inlineStr">
        <is>
          <t>Emissions</t>
        </is>
      </c>
    </row>
    <row r="38" ht="69" customHeight="1">
      <c r="A38" s="13" t="n">
        <v>779.073471875</v>
      </c>
      <c r="B38" s="13" t="n">
        <v>1.16945093055383</v>
      </c>
      <c r="C38" t="inlineStr">
        <is>
          <t>evoh ethylene glycol+PE tetra+lf</t>
        </is>
      </c>
      <c r="G38" s="13" t="n">
        <v>908.5419485</v>
      </c>
      <c r="H38" s="13" t="n">
        <v>0.742563056534525</v>
      </c>
      <c r="I38" t="inlineStr">
        <is>
          <t>st1(Pe tetra)+st2(EVOH gamma) +lf</t>
        </is>
      </c>
      <c r="K38" s="13" t="n"/>
      <c r="M38" s="15" t="n"/>
      <c r="N38" s="13" t="n">
        <v>753.458176875</v>
      </c>
      <c r="O38" s="13" t="n">
        <v>0.827825781225213</v>
      </c>
      <c r="P38" s="61" t="inlineStr">
        <is>
          <t>st1(Pe tetra)+st2(EVOH gamma) +lf</t>
        </is>
      </c>
      <c r="V38" s="13" t="n">
        <v>0.727766667951297</v>
      </c>
      <c r="W38" s="13">
        <f>6619.59742778135/8000</f>
        <v/>
      </c>
      <c r="X38" t="inlineStr">
        <is>
          <t>pe tetra+EVOH pyri+lf</t>
        </is>
      </c>
      <c r="AC38" s="13" t="n">
        <v>0.727766667951272</v>
      </c>
      <c r="AD38" s="13" t="n">
        <v>0.827449678472678</v>
      </c>
      <c r="AE38" t="inlineStr">
        <is>
          <t>pe tetra+EVOH pyri+lf</t>
        </is>
      </c>
      <c r="AJ38" s="13" t="n">
        <v>0.6065482612077679</v>
      </c>
      <c r="AK38" s="13" t="n">
        <v>691.650863654724</v>
      </c>
      <c r="AL38" t="inlineStr">
        <is>
          <t>lf</t>
        </is>
      </c>
      <c r="AN38">
        <f>AK38/8000</f>
        <v/>
      </c>
    </row>
    <row r="39" ht="19" customHeight="1">
      <c r="A39" s="13" t="n">
        <v>777.9811479375001</v>
      </c>
      <c r="B39" s="13" t="n">
        <v>1.12888185669754</v>
      </c>
      <c r="C39" t="inlineStr">
        <is>
          <t>evoh pyri+pe tetra+lf</t>
        </is>
      </c>
      <c r="G39" s="13" t="n">
        <v>480.960769375</v>
      </c>
      <c r="H39" s="13" t="n">
        <v>0.3164773156989938</v>
      </c>
      <c r="I39" t="inlineStr">
        <is>
          <t>evoh ethylene glycol+lf</t>
        </is>
      </c>
      <c r="K39" s="13" t="n"/>
      <c r="M39" s="13" t="n"/>
      <c r="N39" s="13" t="n">
        <v>468.671684</v>
      </c>
      <c r="O39" s="13" t="n">
        <v>0.343396620569203</v>
      </c>
      <c r="P39" t="inlineStr">
        <is>
          <t>evoh pyri+lf</t>
        </is>
      </c>
      <c r="AJ39" s="13" t="n">
        <v>0.660534367912274</v>
      </c>
      <c r="AK39" s="13" t="n">
        <v>2366.85203332794</v>
      </c>
      <c r="AL39" t="inlineStr">
        <is>
          <t>st1(evoh pyri)+lf</t>
        </is>
      </c>
      <c r="AN39">
        <f>AK39/8000</f>
        <v/>
      </c>
    </row>
    <row r="40" ht="19" customHeight="1">
      <c r="A40" s="13" t="n">
        <v>432.4371778125</v>
      </c>
      <c r="B40" s="13" t="n">
        <v>0.580241921327783</v>
      </c>
      <c r="C40" t="inlineStr">
        <is>
          <t>evoh ethylene glycol+lf</t>
        </is>
      </c>
      <c r="G40" s="13" t="n">
        <v>476.572219625</v>
      </c>
      <c r="H40" s="13" t="n">
        <v>0.29474726929591</v>
      </c>
      <c r="I40" t="inlineStr">
        <is>
          <t>evoh pyri+lf</t>
        </is>
      </c>
      <c r="K40" s="13" t="n"/>
      <c r="N40" s="13" t="n">
        <v>-7.83599</v>
      </c>
      <c r="O40" s="13" t="n">
        <v>0.08159999999999989</v>
      </c>
      <c r="P40" t="inlineStr">
        <is>
          <t>lf</t>
        </is>
      </c>
      <c r="AC40" s="13" t="n"/>
      <c r="AD40" s="13" t="n"/>
      <c r="AJ40" s="13" t="n">
        <v>0.727529107677411</v>
      </c>
      <c r="AK40" s="13" t="n">
        <v>5898.31570037367</v>
      </c>
      <c r="AL40" t="inlineStr">
        <is>
          <t>st1(pe tetra)+st2(evoh pyri)+lf</t>
        </is>
      </c>
      <c r="AN40">
        <f>AK40/8000</f>
        <v/>
      </c>
    </row>
    <row r="41" ht="19" customHeight="1">
      <c r="A41" s="13" t="n">
        <v>431.344853874999</v>
      </c>
      <c r="B41" s="13" t="n">
        <v>0.539672847471492</v>
      </c>
      <c r="C41" t="inlineStr">
        <is>
          <t>evoh pyridazine+lf</t>
        </is>
      </c>
      <c r="G41" s="13" t="n">
        <v>-7.83599</v>
      </c>
      <c r="H41" s="13" t="n">
        <v>0.08159999999999999</v>
      </c>
      <c r="I41" t="inlineStr">
        <is>
          <t>lf</t>
        </is>
      </c>
      <c r="K41" s="13" t="n"/>
      <c r="AC41" s="13" t="n"/>
      <c r="AD41" s="13" t="n"/>
      <c r="AK41" s="13" t="n"/>
    </row>
    <row r="42" ht="19" customHeight="1">
      <c r="A42" s="13" t="n">
        <v>-7.83599</v>
      </c>
      <c r="B42" s="13" t="n">
        <v>0.08159999999999989</v>
      </c>
      <c r="C42" t="inlineStr">
        <is>
          <t>lf</t>
        </is>
      </c>
      <c r="K42" s="13" t="n"/>
    </row>
    <row r="43" ht="19" customHeight="1">
      <c r="H43" s="13" t="n"/>
      <c r="AJ43" s="13" t="n"/>
    </row>
    <row r="44">
      <c r="G44" t="inlineStr">
        <is>
          <t>cost</t>
        </is>
      </c>
      <c r="H44" t="inlineStr">
        <is>
          <t>CE</t>
        </is>
      </c>
      <c r="N44" t="inlineStr">
        <is>
          <t>cost</t>
        </is>
      </c>
      <c r="O44" t="inlineStr">
        <is>
          <t>CE</t>
        </is>
      </c>
    </row>
    <row r="45" ht="86" customHeight="1">
      <c r="A45" t="inlineStr">
        <is>
          <t>cost</t>
        </is>
      </c>
      <c r="B45" t="inlineStr">
        <is>
          <t>CE</t>
        </is>
      </c>
      <c r="C45" t="inlineStr">
        <is>
          <t>solution</t>
        </is>
      </c>
      <c r="G45" s="66">
        <f>I13/8000</f>
        <v/>
      </c>
      <c r="H45" s="64">
        <f>I15</f>
        <v/>
      </c>
      <c r="I45" s="64">
        <f>I16</f>
        <v/>
      </c>
      <c r="M45" s="15" t="n"/>
      <c r="N45" s="67" t="n">
        <v>788.808973875</v>
      </c>
      <c r="O45" s="67" t="n">
        <v>0.485771265239585</v>
      </c>
      <c r="P45" s="68" t="inlineStr">
        <is>
          <t>st1(Pe tetra)+st2(EVOH gamma) +gas_h2</t>
        </is>
      </c>
    </row>
    <row r="46" ht="52" customHeight="1">
      <c r="A46" s="82">
        <f>B13/8000</f>
        <v/>
      </c>
      <c r="B46" s="64">
        <f>B15</f>
        <v/>
      </c>
      <c r="C46" s="61" t="inlineStr">
        <is>
          <t>st1(EVOH, ethylene)+st2(PE tetra) +gas_h2</t>
        </is>
      </c>
      <c r="G46" s="13" t="n">
        <v>943.892745499998</v>
      </c>
      <c r="H46" s="13" t="n">
        <v>0.668303780124486</v>
      </c>
      <c r="I46" t="inlineStr">
        <is>
          <t>pe tetra+evoh gamma+we</t>
        </is>
      </c>
      <c r="N46" s="13" t="n">
        <v>788.808973875</v>
      </c>
      <c r="O46" s="13" t="n">
        <v>0.669378141493333</v>
      </c>
      <c r="P46" t="inlineStr">
        <is>
          <t>pe tetra+evoh gamma+we</t>
        </is>
      </c>
    </row>
    <row r="47" ht="19" customHeight="1">
      <c r="A47" s="13" t="n">
        <v>814.4242688750001</v>
      </c>
      <c r="B47" s="13" t="n">
        <v>0.612578745562733</v>
      </c>
      <c r="C47" t="inlineStr">
        <is>
          <t>evoh ethylene glycol+pe tetra+we</t>
        </is>
      </c>
      <c r="G47" s="13" t="n">
        <v>908.541948500001</v>
      </c>
      <c r="H47" s="13" t="n">
        <v>0.722430925358033</v>
      </c>
      <c r="I47" t="inlineStr">
        <is>
          <t>pe tetra+evoh gamma+lf</t>
        </is>
      </c>
      <c r="N47" s="13" t="n">
        <v>753.458176875001</v>
      </c>
      <c r="O47" s="13" t="n">
        <v>0.723439857092977</v>
      </c>
      <c r="P47" t="inlineStr">
        <is>
          <t>st1(Pe tetra)+st2(EVOH gamma) +lf</t>
        </is>
      </c>
    </row>
    <row r="48" ht="19" customHeight="1">
      <c r="A48" s="13" t="n">
        <v>779.073471875</v>
      </c>
      <c r="B48" s="13" t="n">
        <v>0.666828877229235</v>
      </c>
      <c r="C48" t="inlineStr">
        <is>
          <t>evoh ethylene glycol+Pe tetra+lf</t>
        </is>
      </c>
      <c r="G48" s="13" t="n">
        <v>905.0051452500001</v>
      </c>
      <c r="H48" s="13" t="n">
        <v>0.722817092</v>
      </c>
      <c r="I48">
        <f>K16</f>
        <v/>
      </c>
      <c r="N48" s="13" t="n">
        <v>750.4310359375</v>
      </c>
      <c r="O48" s="13" t="n">
        <v>0.723634505</v>
      </c>
      <c r="P48" t="inlineStr">
        <is>
          <t>PE tetra+EVOH pyri+lf</t>
        </is>
      </c>
    </row>
    <row r="49" ht="52" customHeight="1">
      <c r="A49" s="13" t="n">
        <v>777.9811479375001</v>
      </c>
      <c r="B49" s="13" t="n">
        <v>0.674862365</v>
      </c>
      <c r="C49" s="61" t="inlineStr">
        <is>
          <t>st1(EVOH Pyri)+st2(PE tetra)+lf</t>
        </is>
      </c>
      <c r="M49" s="4" t="n"/>
    </row>
    <row r="50" ht="19" customHeight="1">
      <c r="A50" s="13" t="n"/>
      <c r="B50" s="13" t="n"/>
    </row>
    <row r="51" ht="19" customHeight="1">
      <c r="B51" s="13" t="n"/>
      <c r="N51" s="4" t="n"/>
    </row>
    <row r="52">
      <c r="A52" t="inlineStr">
        <is>
          <t>CE</t>
        </is>
      </c>
      <c r="B52" t="inlineStr">
        <is>
          <t>Emissions</t>
        </is>
      </c>
      <c r="G52" t="inlineStr">
        <is>
          <t>CE</t>
        </is>
      </c>
      <c r="H52" t="inlineStr">
        <is>
          <t>Emissions</t>
        </is>
      </c>
      <c r="N52" t="inlineStr">
        <is>
          <t>CE</t>
        </is>
      </c>
      <c r="O52" t="inlineStr">
        <is>
          <t>Emissions</t>
        </is>
      </c>
    </row>
    <row r="53" ht="19" customHeight="1">
      <c r="A53" s="13" t="n">
        <v>0.606683019</v>
      </c>
      <c r="B53" s="13" t="n">
        <v>0.08159999999999989</v>
      </c>
      <c r="C53">
        <f>C16</f>
        <v/>
      </c>
      <c r="G53" s="13" t="n">
        <v>0.606683019</v>
      </c>
      <c r="H53" s="13" t="n">
        <v>0.08159999999999989</v>
      </c>
      <c r="I53" t="inlineStr">
        <is>
          <t>lf</t>
        </is>
      </c>
      <c r="N53" s="13" t="n">
        <v>0.606683019</v>
      </c>
      <c r="O53" s="13" t="n">
        <v>0.08159999999999989</v>
      </c>
      <c r="P53" s="13" t="n">
        <v>652.8</v>
      </c>
      <c r="Q53" t="inlineStr">
        <is>
          <t>lf</t>
        </is>
      </c>
    </row>
    <row r="54" ht="19" customHeight="1">
      <c r="A54" s="13" t="n">
        <v>0.638032250183889</v>
      </c>
      <c r="B54" s="13" t="n">
        <v>0.539672847471492</v>
      </c>
      <c r="C54" t="inlineStr">
        <is>
          <t>st1(EVOH Pyri)+lf</t>
        </is>
      </c>
      <c r="G54" s="13" t="n">
        <v>0.658550120135644</v>
      </c>
      <c r="H54" s="13" t="n">
        <v>0.29474726929591</v>
      </c>
      <c r="I54" t="inlineStr">
        <is>
          <t>EVOH pyri+lf</t>
        </is>
      </c>
      <c r="N54" s="13" t="n">
        <v>0.664530989606955</v>
      </c>
      <c r="O54" s="13" t="n">
        <v>0.343396620569203</v>
      </c>
      <c r="P54" s="13" t="n">
        <v>2747.17296455362</v>
      </c>
      <c r="Q54" t="inlineStr">
        <is>
          <t>evoh pyri+lf</t>
        </is>
      </c>
    </row>
    <row r="55" ht="19" customHeight="1">
      <c r="A55" s="13" t="n">
        <v>0.674862365208267</v>
      </c>
      <c r="B55" s="13" t="n">
        <v>1.12888185669754</v>
      </c>
      <c r="C55">
        <f>D16</f>
        <v/>
      </c>
      <c r="G55" s="13" t="n">
        <v>0.722817092241185</v>
      </c>
      <c r="H55" s="13" t="n">
        <v>0.742221085849761</v>
      </c>
      <c r="I55">
        <f>K16</f>
        <v/>
      </c>
      <c r="N55" s="13" t="n">
        <v>0.723634505269939</v>
      </c>
      <c r="O55" s="13" t="n">
        <v>0.825992771085618</v>
      </c>
      <c r="P55" s="13" t="n">
        <v>6607.94216868494</v>
      </c>
      <c r="Q55" t="inlineStr">
        <is>
          <t>st1(PE tetra)+st2(EVOH pyri)+lf</t>
        </is>
      </c>
    </row>
    <row r="56" ht="19" customHeight="1">
      <c r="G56" s="13" t="n"/>
    </row>
    <row r="59" ht="19" customHeight="1">
      <c r="G59" s="13" t="n"/>
    </row>
    <row r="60" ht="19" customHeight="1">
      <c r="G60" s="13" t="n"/>
    </row>
    <row r="61" ht="19" customHeight="1">
      <c r="G61" s="13" t="n"/>
    </row>
    <row r="62" ht="19" customHeight="1">
      <c r="G62" s="13" t="n"/>
    </row>
    <row r="70">
      <c r="K70" s="70" t="inlineStr">
        <is>
          <t>Energy</t>
        </is>
      </c>
      <c r="L70" s="70" t="inlineStr">
        <is>
          <t>GHG</t>
        </is>
      </c>
      <c r="M70" s="70" t="inlineStr">
        <is>
          <t>Water</t>
        </is>
      </c>
      <c r="N70" s="70" t="inlineStr">
        <is>
          <t>Waste</t>
        </is>
      </c>
      <c r="O70" s="70" t="inlineStr">
        <is>
          <t>Subs</t>
        </is>
      </c>
    </row>
    <row r="71" ht="19" customHeight="1">
      <c r="J71" s="56" t="inlineStr">
        <is>
          <t>Max Profit</t>
        </is>
      </c>
      <c r="K71" t="n">
        <v>0.223305637238829</v>
      </c>
      <c r="L71" s="13" t="n">
        <v>0.228656598393492</v>
      </c>
      <c r="M71" s="13" t="n">
        <v>0.727676617603549</v>
      </c>
      <c r="N71" s="13" t="n">
        <v>0.5</v>
      </c>
      <c r="O71" s="13" t="n">
        <v>0.746030310559006</v>
      </c>
    </row>
    <row r="72" ht="19" customHeight="1">
      <c r="J72" s="57" t="inlineStr">
        <is>
          <t>Min Emissions</t>
        </is>
      </c>
      <c r="K72" s="13" t="n">
        <v>0.565799579443074</v>
      </c>
      <c r="L72" s="13" t="n">
        <v>0.967615513597714</v>
      </c>
      <c r="M72" t="n">
        <v>1</v>
      </c>
      <c r="N72" t="n">
        <v>0.5</v>
      </c>
      <c r="O72" t="n">
        <v>0</v>
      </c>
    </row>
    <row r="73" ht="19" customHeight="1">
      <c r="J73" s="57" t="inlineStr">
        <is>
          <t xml:space="preserve">Max CE </t>
        </is>
      </c>
      <c r="K73" s="13" t="n">
        <v>0.353505683330462</v>
      </c>
      <c r="L73" s="13" t="n">
        <v>0.705435678159418</v>
      </c>
      <c r="M73" s="13" t="n">
        <v>0.977011865647238</v>
      </c>
      <c r="N73" s="13" t="n">
        <v>0.84849943903776</v>
      </c>
      <c r="O73" s="13" t="n">
        <v>0.729632795031055</v>
      </c>
    </row>
    <row r="92">
      <c r="E92" t="inlineStr">
        <is>
          <t xml:space="preserve"> </t>
        </is>
      </c>
    </row>
    <row r="93">
      <c r="F93" t="inlineStr">
        <is>
          <t>Max Profit</t>
        </is>
      </c>
      <c r="G93" t="inlineStr">
        <is>
          <t>Min Emissions</t>
        </is>
      </c>
      <c r="H93" t="inlineStr">
        <is>
          <t>Max Circularity</t>
        </is>
      </c>
    </row>
    <row r="94">
      <c r="E94" t="inlineStr">
        <is>
          <t>Energy Scenario 1</t>
        </is>
      </c>
      <c r="F94" t="n">
        <v>0.432038475</v>
      </c>
      <c r="G94" t="n">
        <v>0.606683019</v>
      </c>
      <c r="H94" t="n">
        <v>0.674862365</v>
      </c>
    </row>
    <row r="95">
      <c r="E95" t="inlineStr">
        <is>
          <t>Energy Scenario 2</t>
        </is>
      </c>
      <c r="F95" t="n">
        <v>0.485133833</v>
      </c>
      <c r="G95" t="n">
        <v>0.606683019</v>
      </c>
      <c r="H95" t="n">
        <v>0.722817092</v>
      </c>
    </row>
  </sheetData>
  <mergeCells count="7">
    <mergeCell ref="M19:O19"/>
    <mergeCell ref="P19:R19"/>
    <mergeCell ref="J19:L19"/>
    <mergeCell ref="L8:N8"/>
    <mergeCell ref="L4:N4"/>
    <mergeCell ref="L6:N6"/>
    <mergeCell ref="L7:N7"/>
  </mergeCell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K20"/>
  <sheetViews>
    <sheetView zoomScale="85" workbookViewId="0">
      <selection activeCell="E20" sqref="E20"/>
    </sheetView>
  </sheetViews>
  <sheetFormatPr baseColWidth="10" defaultRowHeight="16"/>
  <cols>
    <col width="23.6640625" customWidth="1" min="7" max="7"/>
  </cols>
  <sheetData>
    <row r="2">
      <c r="A2" t="inlineStr">
        <is>
          <t>Substitutability</t>
        </is>
      </c>
    </row>
    <row r="5">
      <c r="A5" t="inlineStr">
        <is>
          <t>STRAP all</t>
        </is>
      </c>
      <c r="B5" t="n">
        <v>1</v>
      </c>
      <c r="G5" t="inlineStr">
        <is>
          <t>strap PE</t>
        </is>
      </c>
    </row>
    <row r="6" ht="19" customHeight="1">
      <c r="D6" t="inlineStr">
        <is>
          <t>lf</t>
        </is>
      </c>
      <c r="F6" t="inlineStr">
        <is>
          <t>PE</t>
        </is>
      </c>
      <c r="G6" s="15" t="n">
        <v>5461488</v>
      </c>
    </row>
    <row r="7" ht="19" customHeight="1">
      <c r="F7" t="inlineStr">
        <is>
          <t>EVOH</t>
        </is>
      </c>
      <c r="G7" s="15" t="n">
        <v>6285600</v>
      </c>
      <c r="J7" t="inlineStr">
        <is>
          <t>$/ton</t>
        </is>
      </c>
    </row>
    <row r="8" ht="19" customHeight="1">
      <c r="F8" t="inlineStr">
        <is>
          <t>PET</t>
        </is>
      </c>
      <c r="G8" s="15" t="n">
        <v>2141760</v>
      </c>
      <c r="I8" t="inlineStr">
        <is>
          <t>Pet price</t>
        </is>
      </c>
      <c r="J8" t="n">
        <v>1380</v>
      </c>
      <c r="K8" t="inlineStr">
        <is>
          <t>https://businessanalytiq.com/procurementanalytics/index/pet-price-index/</t>
        </is>
      </c>
    </row>
    <row r="9" ht="19" customHeight="1">
      <c r="F9" t="inlineStr">
        <is>
          <t>N6</t>
        </is>
      </c>
      <c r="G9" s="15" t="n">
        <v>2172800</v>
      </c>
      <c r="I9" t="inlineStr">
        <is>
          <t xml:space="preserve">Nylon 6 </t>
        </is>
      </c>
      <c r="J9" t="n">
        <v>2800</v>
      </c>
      <c r="K9" t="inlineStr">
        <is>
          <t>https://businessanalytiq.com/procurementanalytics/index/pa6-price-index/</t>
        </is>
      </c>
    </row>
    <row r="10">
      <c r="F10" t="inlineStr">
        <is>
          <t>total</t>
        </is>
      </c>
      <c r="G10" s="4">
        <f>SUM(G6:G9)</f>
        <v/>
      </c>
      <c r="H10" t="n">
        <v>1</v>
      </c>
    </row>
    <row r="15">
      <c r="F15" s="4" t="n"/>
    </row>
    <row r="17">
      <c r="G17" t="n">
        <v>0</v>
      </c>
      <c r="H17" t="n">
        <v>0</v>
      </c>
    </row>
    <row r="20">
      <c r="A20" t="inlineStr">
        <is>
          <t>Landfill</t>
        </is>
      </c>
      <c r="B20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Paola Muñoz Briones</dc:creator>
  <dcterms:created xmlns:dcterms="http://purl.org/dc/terms/" xmlns:xsi="http://www.w3.org/2001/XMLSchema-instance" xsi:type="dcterms:W3CDTF">2025-10-13T17:57:37Z</dcterms:created>
  <dcterms:modified xmlns:dcterms="http://purl.org/dc/terms/" xmlns:xsi="http://www.w3.org/2001/XMLSchema-instance" xsi:type="dcterms:W3CDTF">2026-04-17T22:07:57Z</dcterms:modified>
  <cp:lastModifiedBy>Paola Muñoz Briones</cp:lastModifiedBy>
</cp:coreProperties>
</file>