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0.04\home\aaltamimi2\polymer-solubility-app\"/>
    </mc:Choice>
  </mc:AlternateContent>
  <xr:revisionPtr revIDLastSave="0" documentId="8_{9AC92545-3005-4545-BC05-16AC387F2927}" xr6:coauthVersionLast="47" xr6:coauthVersionMax="47" xr10:uidLastSave="{00000000-0000-0000-0000-000000000000}"/>
  <bookViews>
    <workbookView xWindow="-120" yWindow="-120" windowWidth="21840" windowHeight="13020" activeTab="7" xr2:uid="{56436D39-7B28-5E4A-8126-FD2114BF9074}"/>
  </bookViews>
  <sheets>
    <sheet name="Methods" sheetId="10" r:id="rId1"/>
    <sheet name="GWP" sheetId="1" r:id="rId2"/>
    <sheet name="FFC" sheetId="2" r:id="rId3"/>
    <sheet name="WU" sheetId="3" r:id="rId4"/>
    <sheet name="HTC" sheetId="4" r:id="rId5"/>
    <sheet name="HTNC" sheetId="5" r:id="rId6"/>
    <sheet name="ETOX" sheetId="6" r:id="rId7"/>
    <sheet name="ACD" sheetId="7" r:id="rId8"/>
    <sheet name="OZD" sheetId="8" r:id="rId9"/>
    <sheet name="POCP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9" l="1"/>
  <c r="F8" i="9"/>
  <c r="H8" i="8"/>
  <c r="F8" i="8"/>
  <c r="H8" i="7"/>
  <c r="F8" i="7"/>
</calcChain>
</file>

<file path=xl/sharedStrings.xml><?xml version="1.0" encoding="utf-8"?>
<sst xmlns="http://schemas.openxmlformats.org/spreadsheetml/2006/main" count="228" uniqueCount="47">
  <si>
    <t>S1 PE</t>
  </si>
  <si>
    <t>S2 - EVOH</t>
  </si>
  <si>
    <t>S3 - EVOH</t>
  </si>
  <si>
    <t>Adsorbent</t>
  </si>
  <si>
    <t>DMSO</t>
  </si>
  <si>
    <t>Feedstock plastic</t>
  </si>
  <si>
    <t>Xylene</t>
  </si>
  <si>
    <t>Cooling tower makeup water</t>
  </si>
  <si>
    <t>Low pressure steam</t>
  </si>
  <si>
    <t>Medium pressure steam</t>
  </si>
  <si>
    <t>Electricity</t>
  </si>
  <si>
    <t>S2 - PE</t>
  </si>
  <si>
    <t>S3 - PE</t>
  </si>
  <si>
    <t>Virgin PE</t>
  </si>
  <si>
    <t>Virgin EVOH</t>
  </si>
  <si>
    <t>kg co2 eq / kg plastic</t>
  </si>
  <si>
    <t>MJ / kg plastic</t>
  </si>
  <si>
    <t>m3 / kg plastic</t>
  </si>
  <si>
    <t>CTUh / kg plastic</t>
  </si>
  <si>
    <t>CTUe / kg plastic</t>
  </si>
  <si>
    <t>mol H+ eq / kg plastic</t>
  </si>
  <si>
    <t>kg CFC11 eq / kg plastic</t>
  </si>
  <si>
    <t>kg NMVOC eq / kg plastic</t>
  </si>
  <si>
    <t>Process Contributor</t>
  </si>
  <si>
    <t>Database</t>
  </si>
  <si>
    <t>Method</t>
  </si>
  <si>
    <t>EF 2.0</t>
  </si>
  <si>
    <t>Emissions trap disposal (included with xylenes emissions in analysis)</t>
  </si>
  <si>
    <t>Xylene production, production mix, at plant, technology mix, 100% active substance</t>
  </si>
  <si>
    <t>Waste incineration of inert material, production mix, at consumer, waste-to-energy plant with dry flue gas treatment, including transport and pre-treatment, inert material waste</t>
  </si>
  <si>
    <t>Adsorbent landfilling (combined with adsorbent in analysis)</t>
  </si>
  <si>
    <t>*activated silica production, production mix, at plant, technology mix, 100% active substance (activated carbon not available)</t>
  </si>
  <si>
    <t>Landfill of polluted inorganic waste, production mix (region specific sites), at landfill site, landfill including leachate treatment and with transport without collection and pre-treatment</t>
  </si>
  <si>
    <t>Electricity grid mix 1kV-60kV , consumption mix, to consumer, AC, technology mix, 1kV - 60kV - US</t>
  </si>
  <si>
    <t>Process steam from natural gas, production mix, at heat plant, technology mix regarding firing and flue gas cleaning, MJ, 90% efficiency - RNA</t>
  </si>
  <si>
    <t>Articulated lorry transport, Total weight 12-14 t, mix Euro 0-5, consumption mix, to consumer, diesel driven, Euro 0 - 5 mix, cargo, 12 - 14t gross weight / 9.3t payload capacity - RNA</t>
  </si>
  <si>
    <t>Not available - used xylene metrics</t>
  </si>
  <si>
    <t>Water, completely softened, at user, technology mix, per kg water</t>
  </si>
  <si>
    <t>Flow</t>
  </si>
  <si>
    <t>EF midpoint indicator</t>
  </si>
  <si>
    <t>normalization</t>
  </si>
  <si>
    <t>PEF standard weighting and normlization factors</t>
  </si>
  <si>
    <t xml:space="preserve">*various adsorbents may be used, activated silica was chosen because it is the highest impact option compared to activated carbon, alumina, DE, etc. </t>
  </si>
  <si>
    <t>virgin PE</t>
  </si>
  <si>
    <t>virgin EVOH</t>
  </si>
  <si>
    <t>LDPE granulates, production mix, at plant, Polymerisation of ethylene, 0.91- 0.96 g/cm3, 28 g/mol per repeating unit</t>
  </si>
  <si>
    <t>EVOH granulates, single route, at plant, hydrolysis of ethylene–vinyl acetate copolymer, 72 g/mol per repeating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</si>
</sst>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0" fontId="3" fillId="0" borderId="0" xfId="0" applyFont="1"/>
    <xf numFmtId="0" fontId="4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145A0-A97E-4EA6-A7BF-5823F8CD02DD}">
  <dimension ref="A1:K15"/>
  <sheetViews>
    <sheetView workbookViewId="0">
      <selection activeCell="C25" sqref="C25"/>
    </sheetView>
  </sheetViews>
  <sheetFormatPr defaultColWidth="8.875" defaultRowHeight="15.75" x14ac:dyDescent="0.25"/>
  <cols>
    <col min="1" max="1" width="57" bestFit="1" customWidth="1"/>
    <col min="3" max="3" width="115.125" customWidth="1"/>
    <col min="4" max="4" width="18.5" bestFit="1" customWidth="1"/>
    <col min="5" max="5" width="40.375" bestFit="1" customWidth="1"/>
  </cols>
  <sheetData>
    <row r="1" spans="1:11" x14ac:dyDescent="0.25">
      <c r="A1" s="5" t="s">
        <v>23</v>
      </c>
      <c r="B1" s="5" t="s">
        <v>24</v>
      </c>
      <c r="C1" s="5" t="s">
        <v>38</v>
      </c>
      <c r="D1" s="5" t="s">
        <v>25</v>
      </c>
      <c r="E1" s="5" t="s">
        <v>40</v>
      </c>
    </row>
    <row r="2" spans="1:11" x14ac:dyDescent="0.25">
      <c r="A2" t="s">
        <v>3</v>
      </c>
      <c r="B2" t="s">
        <v>26</v>
      </c>
      <c r="C2" t="s">
        <v>31</v>
      </c>
      <c r="D2" t="s">
        <v>39</v>
      </c>
      <c r="E2" t="s">
        <v>41</v>
      </c>
    </row>
    <row r="3" spans="1:11" x14ac:dyDescent="0.25">
      <c r="A3" t="s">
        <v>30</v>
      </c>
      <c r="B3" t="s">
        <v>26</v>
      </c>
      <c r="C3" t="s">
        <v>32</v>
      </c>
      <c r="D3" t="s">
        <v>39</v>
      </c>
      <c r="E3" t="s">
        <v>41</v>
      </c>
    </row>
    <row r="4" spans="1:11" x14ac:dyDescent="0.25">
      <c r="A4" t="s">
        <v>4</v>
      </c>
      <c r="B4" t="s">
        <v>26</v>
      </c>
      <c r="C4" t="s">
        <v>36</v>
      </c>
      <c r="D4" t="s">
        <v>39</v>
      </c>
      <c r="E4" t="s">
        <v>41</v>
      </c>
    </row>
    <row r="5" spans="1:11" x14ac:dyDescent="0.25">
      <c r="A5" t="s">
        <v>5</v>
      </c>
      <c r="B5" t="s">
        <v>26</v>
      </c>
      <c r="C5" t="s">
        <v>35</v>
      </c>
      <c r="D5" t="s">
        <v>39</v>
      </c>
      <c r="E5" t="s">
        <v>41</v>
      </c>
    </row>
    <row r="6" spans="1:11" x14ac:dyDescent="0.25">
      <c r="A6" t="s">
        <v>6</v>
      </c>
      <c r="B6" t="s">
        <v>26</v>
      </c>
      <c r="C6" t="s">
        <v>28</v>
      </c>
      <c r="D6" t="s">
        <v>39</v>
      </c>
      <c r="E6" t="s">
        <v>41</v>
      </c>
      <c r="K6" s="6"/>
    </row>
    <row r="7" spans="1:11" x14ac:dyDescent="0.25">
      <c r="A7" t="s">
        <v>7</v>
      </c>
      <c r="B7" t="s">
        <v>26</v>
      </c>
      <c r="C7" t="s">
        <v>37</v>
      </c>
      <c r="D7" t="s">
        <v>39</v>
      </c>
      <c r="E7" t="s">
        <v>41</v>
      </c>
    </row>
    <row r="8" spans="1:11" x14ac:dyDescent="0.25">
      <c r="A8" t="s">
        <v>8</v>
      </c>
      <c r="B8" t="s">
        <v>26</v>
      </c>
      <c r="C8" t="s">
        <v>34</v>
      </c>
      <c r="D8" t="s">
        <v>39</v>
      </c>
      <c r="E8" t="s">
        <v>41</v>
      </c>
    </row>
    <row r="9" spans="1:11" x14ac:dyDescent="0.25">
      <c r="A9" t="s">
        <v>9</v>
      </c>
      <c r="B9" t="s">
        <v>26</v>
      </c>
      <c r="C9" t="s">
        <v>34</v>
      </c>
      <c r="D9" t="s">
        <v>39</v>
      </c>
      <c r="E9" t="s">
        <v>41</v>
      </c>
    </row>
    <row r="10" spans="1:11" x14ac:dyDescent="0.25">
      <c r="A10" t="s">
        <v>10</v>
      </c>
      <c r="B10" t="s">
        <v>26</v>
      </c>
      <c r="C10" t="s">
        <v>33</v>
      </c>
      <c r="D10" t="s">
        <v>39</v>
      </c>
      <c r="E10" t="s">
        <v>41</v>
      </c>
    </row>
    <row r="11" spans="1:11" x14ac:dyDescent="0.25">
      <c r="A11" t="s">
        <v>27</v>
      </c>
      <c r="B11" t="s">
        <v>26</v>
      </c>
      <c r="C11" t="s">
        <v>29</v>
      </c>
      <c r="D11" t="s">
        <v>39</v>
      </c>
      <c r="E11" t="s">
        <v>41</v>
      </c>
    </row>
    <row r="12" spans="1:11" x14ac:dyDescent="0.25">
      <c r="A12" t="s">
        <v>43</v>
      </c>
      <c r="B12" t="s">
        <v>26</v>
      </c>
      <c r="C12" t="s">
        <v>45</v>
      </c>
      <c r="D12" t="s">
        <v>39</v>
      </c>
      <c r="E12" t="s">
        <v>41</v>
      </c>
    </row>
    <row r="13" spans="1:11" x14ac:dyDescent="0.25">
      <c r="A13" t="s">
        <v>44</v>
      </c>
      <c r="B13" t="s">
        <v>26</v>
      </c>
      <c r="C13" t="s">
        <v>46</v>
      </c>
      <c r="D13" t="s">
        <v>39</v>
      </c>
      <c r="E13" t="s">
        <v>41</v>
      </c>
    </row>
    <row r="15" spans="1:11" x14ac:dyDescent="0.25">
      <c r="A15" t="s">
        <v>42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8428-9AA1-8741-8726-9190E8EEB0C3}">
  <dimension ref="A1:H11"/>
  <sheetViews>
    <sheetView workbookViewId="0">
      <selection activeCell="C28" sqref="C28"/>
    </sheetView>
  </sheetViews>
  <sheetFormatPr defaultColWidth="11" defaultRowHeight="15.75" x14ac:dyDescent="0.25"/>
  <cols>
    <col min="1" max="1" width="24.375" bestFit="1" customWidth="1"/>
  </cols>
  <sheetData>
    <row r="1" spans="1:8" x14ac:dyDescent="0.25">
      <c r="A1" s="4" t="s">
        <v>15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>
        <v>2.0910000000000002</v>
      </c>
      <c r="C2">
        <v>0</v>
      </c>
    </row>
    <row r="3" spans="1:8" x14ac:dyDescent="0.25">
      <c r="A3" t="s">
        <v>14</v>
      </c>
      <c r="B3">
        <v>0</v>
      </c>
      <c r="C3">
        <v>7.3</v>
      </c>
    </row>
    <row r="4" spans="1:8" x14ac:dyDescent="0.25">
      <c r="A4" t="s">
        <v>3</v>
      </c>
      <c r="D4">
        <v>1.4748996689818369E-3</v>
      </c>
      <c r="E4">
        <v>1.4748996689818369E-3</v>
      </c>
      <c r="F4">
        <v>1.821350144050422E-3</v>
      </c>
      <c r="G4">
        <v>1.4748996689818369E-3</v>
      </c>
      <c r="H4">
        <v>3.3371726590537801E-3</v>
      </c>
    </row>
    <row r="5" spans="1:8" x14ac:dyDescent="0.25">
      <c r="A5" t="s">
        <v>4</v>
      </c>
      <c r="F5">
        <v>0</v>
      </c>
      <c r="H5" s="1">
        <v>6.6299999999999996E-4</v>
      </c>
    </row>
    <row r="6" spans="1:8" x14ac:dyDescent="0.25">
      <c r="A6" t="s">
        <v>5</v>
      </c>
      <c r="D6">
        <v>4.4809225106752747E-2</v>
      </c>
      <c r="E6">
        <v>4.4809225106752747E-2</v>
      </c>
      <c r="F6">
        <v>5.5334807051188609E-2</v>
      </c>
      <c r="G6">
        <v>4.4809225106752747E-2</v>
      </c>
      <c r="H6">
        <v>0.1013873174185945</v>
      </c>
    </row>
    <row r="7" spans="1:8" x14ac:dyDescent="0.25">
      <c r="A7" t="s">
        <v>6</v>
      </c>
      <c r="D7">
        <v>1.3228391232000839E-3</v>
      </c>
      <c r="E7">
        <v>1.3228391232000839E-3</v>
      </c>
      <c r="F7">
        <v>1.6335709324955291E-3</v>
      </c>
      <c r="G7">
        <v>1.3228391232000839E-3</v>
      </c>
      <c r="H7">
        <v>2.9931138009661857E-3</v>
      </c>
    </row>
    <row r="8" spans="1:8" x14ac:dyDescent="0.25">
      <c r="A8" t="s">
        <v>7</v>
      </c>
      <c r="D8">
        <v>7.2397460425481058E-5</v>
      </c>
      <c r="E8">
        <v>7.2397460425481058E-5</v>
      </c>
      <c r="F8">
        <v>8.9403454179267625E-5</v>
      </c>
      <c r="G8">
        <v>7.2397460425481058E-5</v>
      </c>
      <c r="H8">
        <v>1.6380966827637055E-4</v>
      </c>
    </row>
    <row r="9" spans="1:8" x14ac:dyDescent="0.25">
      <c r="A9" t="s">
        <v>8</v>
      </c>
      <c r="D9">
        <v>6.54890283505975E-2</v>
      </c>
      <c r="E9">
        <v>6.54890283505975E-2</v>
      </c>
      <c r="F9">
        <v>8.0872247603407527E-2</v>
      </c>
      <c r="G9">
        <v>6.54890283505975E-2</v>
      </c>
      <c r="H9">
        <v>0.14817834695866572</v>
      </c>
    </row>
    <row r="10" spans="1:8" x14ac:dyDescent="0.25">
      <c r="A10" t="s">
        <v>9</v>
      </c>
      <c r="F10">
        <v>0</v>
      </c>
      <c r="H10" s="1">
        <v>4.5800000000000002E-4</v>
      </c>
    </row>
    <row r="11" spans="1:8" x14ac:dyDescent="0.25">
      <c r="A11" t="s">
        <v>10</v>
      </c>
      <c r="D11">
        <v>0.76612094323642299</v>
      </c>
      <c r="E11">
        <v>0.76612094323642299</v>
      </c>
      <c r="F11">
        <v>0.94608095700975292</v>
      </c>
      <c r="G11">
        <v>0.76612094323642299</v>
      </c>
      <c r="H11">
        <v>1.7334588372794384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B9F8A-D82E-0540-BF97-726C7B4EB00B}">
  <dimension ref="A1:H11"/>
  <sheetViews>
    <sheetView workbookViewId="0">
      <selection activeCell="A27" sqref="A27"/>
    </sheetView>
  </sheetViews>
  <sheetFormatPr defaultColWidth="11" defaultRowHeight="15.75" x14ac:dyDescent="0.25"/>
  <cols>
    <col min="1" max="1" width="24.375" bestFit="1" customWidth="1"/>
  </cols>
  <sheetData>
    <row r="1" spans="1:8" x14ac:dyDescent="0.25">
      <c r="A1" t="s">
        <v>16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 s="2">
        <v>75.77</v>
      </c>
      <c r="C2" s="2">
        <v>0</v>
      </c>
    </row>
    <row r="3" spans="1:8" x14ac:dyDescent="0.25">
      <c r="A3" t="s">
        <v>14</v>
      </c>
      <c r="B3" s="2">
        <v>0</v>
      </c>
      <c r="C3" s="2">
        <v>161.78</v>
      </c>
    </row>
    <row r="4" spans="1:8" x14ac:dyDescent="0.25">
      <c r="A4" t="s">
        <v>3</v>
      </c>
      <c r="D4">
        <v>1.9869011489294791E-2</v>
      </c>
      <c r="E4">
        <v>1.9869011489294791E-2</v>
      </c>
      <c r="F4">
        <v>2.4961293191867701E-2</v>
      </c>
      <c r="G4">
        <v>1.9869011489294791E-2</v>
      </c>
      <c r="H4">
        <v>4.9462351846738153E-2</v>
      </c>
    </row>
    <row r="5" spans="1:8" x14ac:dyDescent="0.25">
      <c r="A5" t="s">
        <v>4</v>
      </c>
      <c r="F5">
        <v>0</v>
      </c>
      <c r="H5" s="1">
        <v>3.3042000000000002E-2</v>
      </c>
    </row>
    <row r="6" spans="1:8" x14ac:dyDescent="0.25">
      <c r="A6" t="s">
        <v>5</v>
      </c>
      <c r="D6">
        <v>0.58251992638778571</v>
      </c>
      <c r="E6">
        <v>0.58251992638778571</v>
      </c>
      <c r="F6">
        <v>0.73181550478769153</v>
      </c>
      <c r="G6">
        <v>0.58251992638778571</v>
      </c>
      <c r="H6">
        <v>1.4501378476857136</v>
      </c>
    </row>
    <row r="7" spans="1:8" x14ac:dyDescent="0.25">
      <c r="A7" t="s">
        <v>6</v>
      </c>
      <c r="D7">
        <v>6.5972764238527853E-2</v>
      </c>
      <c r="E7">
        <v>6.5972764238527853E-2</v>
      </c>
      <c r="F7">
        <v>8.2881099128817651E-2</v>
      </c>
      <c r="G7">
        <v>6.5972764238527853E-2</v>
      </c>
      <c r="H7">
        <v>0.16423404248500881</v>
      </c>
    </row>
    <row r="8" spans="1:8" x14ac:dyDescent="0.25">
      <c r="A8" t="s">
        <v>7</v>
      </c>
      <c r="D8">
        <v>1.1166759805021169E-3</v>
      </c>
      <c r="E8">
        <v>1.1166759805021169E-3</v>
      </c>
      <c r="F8">
        <v>1.4028718320812145E-3</v>
      </c>
      <c r="G8">
        <v>1.1166759805021169E-3</v>
      </c>
      <c r="H8">
        <v>2.7798776137482324E-3</v>
      </c>
    </row>
    <row r="9" spans="1:8" x14ac:dyDescent="0.25">
      <c r="A9" t="s">
        <v>8</v>
      </c>
      <c r="D9">
        <v>1.061685758618423</v>
      </c>
      <c r="E9">
        <v>1.061685758618423</v>
      </c>
      <c r="F9">
        <v>1.3337880202436552</v>
      </c>
      <c r="G9">
        <v>1.061685758618423</v>
      </c>
      <c r="H9">
        <v>2.6429837524503541</v>
      </c>
    </row>
    <row r="10" spans="1:8" x14ac:dyDescent="0.25">
      <c r="A10" t="s">
        <v>9</v>
      </c>
      <c r="F10">
        <v>0</v>
      </c>
      <c r="H10" s="1">
        <v>7.4229999999999999E-3</v>
      </c>
    </row>
    <row r="11" spans="1:8" x14ac:dyDescent="0.25">
      <c r="A11" t="s">
        <v>10</v>
      </c>
      <c r="D11">
        <v>11.56873845834947</v>
      </c>
      <c r="E11">
        <v>11.56873845834947</v>
      </c>
      <c r="F11">
        <v>14.533721150369418</v>
      </c>
      <c r="G11">
        <v>11.56873845834947</v>
      </c>
      <c r="H11">
        <v>28.799470590576533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BFC9-1E52-6346-B085-87A84B199C5E}">
  <dimension ref="A1:H11"/>
  <sheetViews>
    <sheetView workbookViewId="0">
      <selection activeCell="B2" sqref="B2:C3"/>
    </sheetView>
  </sheetViews>
  <sheetFormatPr defaultColWidth="11" defaultRowHeight="15.75" x14ac:dyDescent="0.25"/>
  <cols>
    <col min="1" max="1" width="24.375" bestFit="1" customWidth="1"/>
  </cols>
  <sheetData>
    <row r="1" spans="1:8" x14ac:dyDescent="0.25">
      <c r="A1" t="s">
        <v>17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>
        <v>1.5624400000000001</v>
      </c>
    </row>
    <row r="3" spans="1:8" x14ac:dyDescent="0.25">
      <c r="A3" t="s">
        <v>14</v>
      </c>
      <c r="C3">
        <v>1.328857</v>
      </c>
    </row>
    <row r="4" spans="1:8" x14ac:dyDescent="0.25">
      <c r="A4" t="s">
        <v>3</v>
      </c>
      <c r="D4">
        <v>8.455139973359174E-4</v>
      </c>
      <c r="E4">
        <v>8.455139973359174E-4</v>
      </c>
      <c r="F4">
        <v>1.006477268976898E-3</v>
      </c>
      <c r="G4">
        <v>8.455139973359174E-4</v>
      </c>
      <c r="H4">
        <v>1.876449891344786E-3</v>
      </c>
    </row>
    <row r="5" spans="1:8" x14ac:dyDescent="0.25">
      <c r="A5" t="s">
        <v>4</v>
      </c>
      <c r="F5">
        <v>0</v>
      </c>
      <c r="H5">
        <v>1.760693001841288E-4</v>
      </c>
    </row>
    <row r="6" spans="1:8" x14ac:dyDescent="0.25">
      <c r="A6" t="s">
        <v>5</v>
      </c>
      <c r="D6">
        <v>4.4753213575369306E-3</v>
      </c>
      <c r="E6">
        <v>4.4753213575369306E-3</v>
      </c>
      <c r="F6">
        <v>5.3273029564503112E-3</v>
      </c>
      <c r="G6">
        <v>4.4753213575369306E-3</v>
      </c>
      <c r="H6">
        <v>9.9320842724580152E-3</v>
      </c>
    </row>
    <row r="7" spans="1:8" x14ac:dyDescent="0.25">
      <c r="A7" t="s">
        <v>6</v>
      </c>
      <c r="D7">
        <v>3.5154455741610868E-4</v>
      </c>
      <c r="E7">
        <v>3.5154455741610868E-4</v>
      </c>
      <c r="F7">
        <v>4.184692473296646E-4</v>
      </c>
      <c r="G7">
        <v>3.5154455741610868E-4</v>
      </c>
      <c r="H7">
        <v>7.8018311777780177E-4</v>
      </c>
    </row>
    <row r="8" spans="1:8" x14ac:dyDescent="0.25">
      <c r="A8" t="s">
        <v>7</v>
      </c>
      <c r="D8">
        <v>9.433608479683895E-6</v>
      </c>
      <c r="E8">
        <v>9.433608479683895E-6</v>
      </c>
      <c r="F8">
        <v>1.1229515453494454E-5</v>
      </c>
      <c r="G8">
        <v>9.433608479683895E-6</v>
      </c>
      <c r="H8">
        <v>2.0936014853056686E-5</v>
      </c>
    </row>
    <row r="9" spans="1:8" x14ac:dyDescent="0.25">
      <c r="A9" t="s">
        <v>8</v>
      </c>
      <c r="D9">
        <v>4.0932090788373018E-4</v>
      </c>
      <c r="E9">
        <v>4.0932090788373018E-4</v>
      </c>
      <c r="F9">
        <v>4.8724467105218985E-4</v>
      </c>
      <c r="G9">
        <v>4.0932090788373018E-4</v>
      </c>
      <c r="H9">
        <v>9.0840621863581665E-4</v>
      </c>
    </row>
    <row r="10" spans="1:8" x14ac:dyDescent="0.25">
      <c r="A10" t="s">
        <v>9</v>
      </c>
      <c r="F10">
        <v>0</v>
      </c>
      <c r="H10" s="3">
        <v>2.8618306550842901E-6</v>
      </c>
    </row>
    <row r="11" spans="1:8" x14ac:dyDescent="0.25">
      <c r="A11" t="s">
        <v>10</v>
      </c>
      <c r="D11">
        <v>0.13854244609980779</v>
      </c>
      <c r="E11">
        <v>0.13854244609980779</v>
      </c>
      <c r="F11">
        <v>0.16491722576712714</v>
      </c>
      <c r="G11">
        <v>0.13854244609980779</v>
      </c>
      <c r="H11">
        <v>0.30746736156910903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F36FE-7558-8E40-B45A-80956A555AFC}">
  <dimension ref="A1:H11"/>
  <sheetViews>
    <sheetView workbookViewId="0">
      <selection activeCell="B2" sqref="B2:C3"/>
    </sheetView>
  </sheetViews>
  <sheetFormatPr defaultColWidth="11" defaultRowHeight="15.75" x14ac:dyDescent="0.25"/>
  <cols>
    <col min="1" max="1" width="24.375" bestFit="1" customWidth="1"/>
  </cols>
  <sheetData>
    <row r="1" spans="1:8" x14ac:dyDescent="0.25">
      <c r="A1" t="s">
        <v>18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 s="3">
        <v>2.6648300000000001E-8</v>
      </c>
    </row>
    <row r="3" spans="1:8" x14ac:dyDescent="0.25">
      <c r="A3" t="s">
        <v>14</v>
      </c>
      <c r="C3" s="3">
        <v>2.5242499999999999E-8</v>
      </c>
    </row>
    <row r="4" spans="1:8" x14ac:dyDescent="0.25">
      <c r="A4" t="s">
        <v>3</v>
      </c>
      <c r="D4">
        <v>5.3895322348217793E-11</v>
      </c>
      <c r="E4">
        <v>5.3895322348217793E-11</v>
      </c>
      <c r="F4">
        <v>7.0985637823259363E-11</v>
      </c>
      <c r="G4">
        <v>5.3895322348217793E-11</v>
      </c>
      <c r="H4">
        <v>1.2970215305978254E-10</v>
      </c>
    </row>
    <row r="5" spans="1:8" x14ac:dyDescent="0.25">
      <c r="A5" t="s">
        <v>4</v>
      </c>
      <c r="F5">
        <v>0</v>
      </c>
      <c r="H5">
        <v>1.5980019178703321E-11</v>
      </c>
    </row>
    <row r="6" spans="1:8" x14ac:dyDescent="0.25">
      <c r="A6" t="s">
        <v>5</v>
      </c>
      <c r="D6">
        <v>7.0258624506132962E-10</v>
      </c>
      <c r="E6">
        <v>7.0258624506132962E-10</v>
      </c>
      <c r="F6">
        <v>9.2537776115883094E-10</v>
      </c>
      <c r="G6">
        <v>7.0258624506132962E-10</v>
      </c>
      <c r="H6">
        <v>1.6908136870556419E-9</v>
      </c>
    </row>
    <row r="7" spans="1:8" x14ac:dyDescent="0.25">
      <c r="A7" t="s">
        <v>6</v>
      </c>
      <c r="D7">
        <v>3.1906123121994297E-11</v>
      </c>
      <c r="E7">
        <v>3.1906123121994297E-11</v>
      </c>
      <c r="F7">
        <v>4.202361914915058E-11</v>
      </c>
      <c r="G7">
        <v>3.1906123121994297E-11</v>
      </c>
      <c r="H7">
        <v>7.6783896716966491E-11</v>
      </c>
    </row>
    <row r="8" spans="1:8" x14ac:dyDescent="0.25">
      <c r="A8" t="s">
        <v>7</v>
      </c>
      <c r="D8">
        <v>7.8979047736888429E-15</v>
      </c>
      <c r="E8">
        <v>7.8979047736888429E-15</v>
      </c>
      <c r="F8">
        <v>1.0402346315054677E-14</v>
      </c>
      <c r="G8">
        <v>7.8979047736888429E-15</v>
      </c>
      <c r="H8">
        <v>1.9006756229976449E-14</v>
      </c>
    </row>
    <row r="9" spans="1:8" x14ac:dyDescent="0.25">
      <c r="A9" t="s">
        <v>8</v>
      </c>
      <c r="D9">
        <v>1.3081278373084191E-8</v>
      </c>
      <c r="E9">
        <v>1.3081278373084191E-8</v>
      </c>
      <c r="F9">
        <v>1.7229378142641281E-8</v>
      </c>
      <c r="G9">
        <v>1.3081278373084191E-8</v>
      </c>
      <c r="H9">
        <v>3.1480839075443333E-8</v>
      </c>
    </row>
    <row r="10" spans="1:8" x14ac:dyDescent="0.25">
      <c r="A10" t="s">
        <v>9</v>
      </c>
      <c r="F10">
        <v>0</v>
      </c>
      <c r="H10">
        <v>9.1459787992108975E-11</v>
      </c>
    </row>
    <row r="11" spans="1:8" x14ac:dyDescent="0.25">
      <c r="A11" t="s">
        <v>10</v>
      </c>
      <c r="D11">
        <v>4.7628979062841301E-8</v>
      </c>
      <c r="E11">
        <v>4.7628979062841301E-8</v>
      </c>
      <c r="F11">
        <v>6.2732224436881159E-8</v>
      </c>
      <c r="G11">
        <v>4.7628979062841301E-8</v>
      </c>
      <c r="H11">
        <v>1.1462184218096805E-7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FA2D7-F8A9-E04E-A219-097EF3D91DAD}">
  <dimension ref="A1:H11"/>
  <sheetViews>
    <sheetView workbookViewId="0">
      <selection activeCell="B2" sqref="B2:C3"/>
    </sheetView>
  </sheetViews>
  <sheetFormatPr defaultColWidth="11" defaultRowHeight="15.75" x14ac:dyDescent="0.25"/>
  <cols>
    <col min="1" max="1" width="24.375" bestFit="1" customWidth="1"/>
  </cols>
  <sheetData>
    <row r="1" spans="1:8" x14ac:dyDescent="0.25">
      <c r="A1" t="s">
        <v>18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 s="3">
        <v>2.4014999999999999E-7</v>
      </c>
    </row>
    <row r="3" spans="1:8" x14ac:dyDescent="0.25">
      <c r="A3" t="s">
        <v>14</v>
      </c>
      <c r="C3" s="3">
        <v>4.2313600000000001E-7</v>
      </c>
    </row>
    <row r="4" spans="1:8" x14ac:dyDescent="0.25">
      <c r="A4" t="s">
        <v>3</v>
      </c>
      <c r="D4">
        <v>2.779189331027095E-10</v>
      </c>
      <c r="E4">
        <v>2.779189331027095E-10</v>
      </c>
      <c r="F4">
        <v>3.578897064818243E-10</v>
      </c>
      <c r="G4">
        <v>2.779189331027095E-10</v>
      </c>
      <c r="H4">
        <v>7.0931152670192884E-10</v>
      </c>
    </row>
    <row r="5" spans="1:8" x14ac:dyDescent="0.25">
      <c r="A5" t="s">
        <v>4</v>
      </c>
      <c r="F5">
        <v>0</v>
      </c>
      <c r="H5">
        <v>5.7813667260673229E-11</v>
      </c>
    </row>
    <row r="6" spans="1:8" x14ac:dyDescent="0.25">
      <c r="A6" t="s">
        <v>5</v>
      </c>
      <c r="D6">
        <v>1.6153725650984361E-9</v>
      </c>
      <c r="E6">
        <v>1.6153725650984361E-9</v>
      </c>
      <c r="F6">
        <v>2.0801936979522556E-9</v>
      </c>
      <c r="G6">
        <v>1.6153725650984361E-9</v>
      </c>
      <c r="H6">
        <v>4.1227935338933263E-9</v>
      </c>
    </row>
    <row r="7" spans="1:8" x14ac:dyDescent="0.25">
      <c r="A7" t="s">
        <v>6</v>
      </c>
      <c r="D7">
        <v>1.154322760895916E-10</v>
      </c>
      <c r="E7">
        <v>1.154322760895916E-10</v>
      </c>
      <c r="F7">
        <v>1.4864774755365553E-10</v>
      </c>
      <c r="G7">
        <v>1.154322760895916E-10</v>
      </c>
      <c r="H7">
        <v>2.9460909003104022E-10</v>
      </c>
    </row>
    <row r="8" spans="1:8" x14ac:dyDescent="0.25">
      <c r="A8" t="s">
        <v>7</v>
      </c>
      <c r="D8">
        <v>3.0714074119901059E-14</v>
      </c>
      <c r="E8">
        <v>3.0714074119901059E-14</v>
      </c>
      <c r="F8">
        <v>3.9552004783963453E-14</v>
      </c>
      <c r="G8">
        <v>3.0714074119901059E-14</v>
      </c>
      <c r="H8">
        <v>7.8389214300746856E-14</v>
      </c>
    </row>
    <row r="9" spans="1:8" x14ac:dyDescent="0.25">
      <c r="A9" t="s">
        <v>8</v>
      </c>
      <c r="D9">
        <v>3.091515863849838E-10</v>
      </c>
      <c r="E9">
        <v>3.091515863849838E-10</v>
      </c>
      <c r="F9">
        <v>3.98109510836466E-10</v>
      </c>
      <c r="G9">
        <v>3.091515863849838E-10</v>
      </c>
      <c r="H9">
        <v>7.8902427147709231E-10</v>
      </c>
    </row>
    <row r="10" spans="1:8" x14ac:dyDescent="0.25">
      <c r="A10" t="s">
        <v>9</v>
      </c>
      <c r="F10">
        <v>0</v>
      </c>
      <c r="H10">
        <v>2.1614812972998722E-12</v>
      </c>
    </row>
    <row r="11" spans="1:8" x14ac:dyDescent="0.25">
      <c r="A11" t="s">
        <v>10</v>
      </c>
      <c r="D11">
        <v>1.057280915385167E-8</v>
      </c>
      <c r="E11">
        <v>1.057280915385167E-8</v>
      </c>
      <c r="F11">
        <v>1.3615119785171012E-8</v>
      </c>
      <c r="G11">
        <v>1.057280915385167E-8</v>
      </c>
      <c r="H11">
        <v>2.6984183188682311E-8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923BF-1160-8340-82E7-5E13453C754D}">
  <dimension ref="A1:H11"/>
  <sheetViews>
    <sheetView workbookViewId="0">
      <selection activeCell="B2" sqref="B2:C3"/>
    </sheetView>
  </sheetViews>
  <sheetFormatPr defaultColWidth="11" defaultRowHeight="15.75" x14ac:dyDescent="0.25"/>
  <cols>
    <col min="1" max="1" width="24.375" bestFit="1" customWidth="1"/>
  </cols>
  <sheetData>
    <row r="1" spans="1:8" x14ac:dyDescent="0.25">
      <c r="A1" t="s">
        <v>19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>
        <v>0.69706999999999997</v>
      </c>
    </row>
    <row r="3" spans="1:8" x14ac:dyDescent="0.25">
      <c r="A3" t="s">
        <v>14</v>
      </c>
      <c r="C3">
        <v>1.0698399999999999</v>
      </c>
    </row>
    <row r="4" spans="1:8" x14ac:dyDescent="0.25">
      <c r="A4" t="s">
        <v>3</v>
      </c>
      <c r="D4">
        <v>1.412578354713704E-3</v>
      </c>
      <c r="E4">
        <v>1.412578354713704E-3</v>
      </c>
      <c r="F4">
        <v>1.8677833895800317E-3</v>
      </c>
      <c r="G4">
        <v>1.412578354713704E-3</v>
      </c>
      <c r="H4">
        <v>3.4781071024605516E-3</v>
      </c>
    </row>
    <row r="5" spans="1:8" x14ac:dyDescent="0.25">
      <c r="A5" t="s">
        <v>4</v>
      </c>
      <c r="F5">
        <v>0</v>
      </c>
      <c r="H5" s="2">
        <v>5.2647000000000002E-4</v>
      </c>
    </row>
    <row r="6" spans="1:8" x14ac:dyDescent="0.25">
      <c r="A6" t="s">
        <v>5</v>
      </c>
      <c r="D6">
        <v>1.240095304829382E-2</v>
      </c>
      <c r="E6">
        <v>1.240095304829382E-2</v>
      </c>
      <c r="F6">
        <v>1.639717474168681E-2</v>
      </c>
      <c r="G6">
        <v>1.240095304829382E-2</v>
      </c>
      <c r="H6">
        <v>3.0534124164243167E-2</v>
      </c>
    </row>
    <row r="7" spans="1:8" x14ac:dyDescent="0.25">
      <c r="A7" t="s">
        <v>6</v>
      </c>
      <c r="D7">
        <v>1.0511652378580609E-3</v>
      </c>
      <c r="E7">
        <v>1.0511652378580609E-3</v>
      </c>
      <c r="F7">
        <v>1.3899044710855373E-3</v>
      </c>
      <c r="G7">
        <v>1.0511652378580609E-3</v>
      </c>
      <c r="H7">
        <v>2.5882212250057835E-3</v>
      </c>
    </row>
    <row r="8" spans="1:8" x14ac:dyDescent="0.25">
      <c r="A8" t="s">
        <v>7</v>
      </c>
      <c r="D8">
        <v>9.4336084796838971E-8</v>
      </c>
      <c r="E8">
        <v>9.4336084796838971E-8</v>
      </c>
      <c r="F8">
        <v>1.2473599898623721E-7</v>
      </c>
      <c r="G8">
        <v>9.4336084796838971E-8</v>
      </c>
      <c r="H8">
        <v>2.322780930737869E-7</v>
      </c>
    </row>
    <row r="9" spans="1:8" x14ac:dyDescent="0.25">
      <c r="A9" t="s">
        <v>8</v>
      </c>
      <c r="D9">
        <v>0.13229560664242071</v>
      </c>
      <c r="E9">
        <v>0.13229560664242071</v>
      </c>
      <c r="F9">
        <v>0.17492802135652738</v>
      </c>
      <c r="G9">
        <v>0.13229560664242071</v>
      </c>
      <c r="H9">
        <v>0.32574355082808126</v>
      </c>
    </row>
    <row r="10" spans="1:8" x14ac:dyDescent="0.25">
      <c r="A10" t="s">
        <v>9</v>
      </c>
      <c r="F10">
        <v>0</v>
      </c>
      <c r="H10">
        <v>9.2496526644516902E-4</v>
      </c>
    </row>
    <row r="11" spans="1:8" x14ac:dyDescent="0.25">
      <c r="A11" t="s">
        <v>10</v>
      </c>
      <c r="D11">
        <v>0.4954072774880815</v>
      </c>
      <c r="E11">
        <v>0.4954072774880815</v>
      </c>
      <c r="F11">
        <v>0.65505285486046061</v>
      </c>
      <c r="G11">
        <v>0.4954072774880815</v>
      </c>
      <c r="H11">
        <v>1.2198116760688782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FEAF0-3DC9-FD47-97A4-029DFFB392B2}">
  <dimension ref="A1:H11"/>
  <sheetViews>
    <sheetView tabSelected="1" workbookViewId="0">
      <selection activeCell="B2" sqref="B2:C3"/>
    </sheetView>
  </sheetViews>
  <sheetFormatPr defaultColWidth="11" defaultRowHeight="15.75" x14ac:dyDescent="0.25"/>
  <cols>
    <col min="1" max="1" width="24.375" bestFit="1" customWidth="1"/>
    <col min="6" max="6" width="12.125" bestFit="1" customWidth="1"/>
  </cols>
  <sheetData>
    <row r="1" spans="1:8" x14ac:dyDescent="0.25">
      <c r="A1" t="s">
        <v>20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>
        <v>5.5399999999999998E-3</v>
      </c>
    </row>
    <row r="3" spans="1:8" x14ac:dyDescent="0.25">
      <c r="A3" t="s">
        <v>14</v>
      </c>
      <c r="C3">
        <v>8.6800000000000002E-3</v>
      </c>
    </row>
    <row r="4" spans="1:8" x14ac:dyDescent="0.25">
      <c r="A4" t="s">
        <v>3</v>
      </c>
      <c r="D4">
        <v>1.556195794511485E-5</v>
      </c>
      <c r="E4">
        <v>1.556195794511485E-5</v>
      </c>
      <c r="F4">
        <v>1.8348307681478383E-5</v>
      </c>
      <c r="G4">
        <v>1.556195794511485E-5</v>
      </c>
      <c r="H4">
        <v>3.2954120747103766E-5</v>
      </c>
    </row>
    <row r="5" spans="1:8" x14ac:dyDescent="0.25">
      <c r="A5" t="s">
        <v>4</v>
      </c>
      <c r="F5">
        <v>0</v>
      </c>
      <c r="H5">
        <v>3.0929702772212809E-6</v>
      </c>
    </row>
    <row r="6" spans="1:8" x14ac:dyDescent="0.25">
      <c r="A6" t="s">
        <v>5</v>
      </c>
      <c r="D6">
        <v>3.6407495399236599E-4</v>
      </c>
      <c r="E6">
        <v>3.6407495399236599E-4</v>
      </c>
      <c r="F6">
        <v>4.2926213388650287E-4</v>
      </c>
      <c r="G6">
        <v>3.6407495399236599E-4</v>
      </c>
      <c r="H6">
        <v>7.7096789730285648E-4</v>
      </c>
    </row>
    <row r="7" spans="1:8" x14ac:dyDescent="0.25">
      <c r="A7" t="s">
        <v>6</v>
      </c>
      <c r="D7">
        <v>6.1755051338867447E-6</v>
      </c>
      <c r="E7">
        <v>6.1755051338867447E-6</v>
      </c>
      <c r="F7">
        <v>7.2812218542637302E-6</v>
      </c>
      <c r="G7">
        <v>6.1755051338867447E-6</v>
      </c>
      <c r="H7">
        <v>1.3077296736966671E-5</v>
      </c>
    </row>
    <row r="8" spans="1:8" x14ac:dyDescent="0.25">
      <c r="A8" t="s">
        <v>7</v>
      </c>
      <c r="D8">
        <v>6.1248251519956976E-8</v>
      </c>
      <c r="E8">
        <v>6.1248251519956976E-8</v>
      </c>
      <c r="F8">
        <f>E8*(F7/E7)</f>
        <v>7.2214676829500495E-8</v>
      </c>
      <c r="G8">
        <v>6.1248251519956976E-8</v>
      </c>
      <c r="H8">
        <f>G8*(H7/G7)</f>
        <v>1.2969976421066262E-7</v>
      </c>
    </row>
    <row r="9" spans="1:8" x14ac:dyDescent="0.25">
      <c r="A9" t="s">
        <v>8</v>
      </c>
      <c r="D9">
        <v>5.2261012293554988E-5</v>
      </c>
      <c r="E9">
        <v>5.2261012293554988E-5</v>
      </c>
      <c r="F9">
        <v>6.1618283296330695E-5</v>
      </c>
      <c r="G9">
        <v>5.2261012293554988E-5</v>
      </c>
      <c r="H9">
        <v>1.1066831793028439E-4</v>
      </c>
    </row>
    <row r="10" spans="1:8" x14ac:dyDescent="0.25">
      <c r="A10" t="s">
        <v>9</v>
      </c>
      <c r="F10">
        <v>0</v>
      </c>
      <c r="H10">
        <v>3.6539097848848868E-7</v>
      </c>
    </row>
    <row r="11" spans="1:8" x14ac:dyDescent="0.25">
      <c r="A11" t="s">
        <v>10</v>
      </c>
      <c r="D11">
        <v>2.6779457793202118E-3</v>
      </c>
      <c r="E11">
        <v>2.6779457793202118E-3</v>
      </c>
      <c r="F11">
        <v>3.1574287301494842E-3</v>
      </c>
      <c r="G11">
        <v>2.6779457793202118E-3</v>
      </c>
      <c r="H11">
        <v>5.6708383917473603E-3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781D-D2C3-0444-8799-79F3530E06B8}">
  <dimension ref="A1:H11"/>
  <sheetViews>
    <sheetView workbookViewId="0">
      <selection activeCell="B2" sqref="B2:C3"/>
    </sheetView>
  </sheetViews>
  <sheetFormatPr defaultColWidth="11" defaultRowHeight="15.75" x14ac:dyDescent="0.25"/>
  <cols>
    <col min="1" max="1" width="24.375" bestFit="1" customWidth="1"/>
    <col min="6" max="6" width="12.125" bestFit="1" customWidth="1"/>
  </cols>
  <sheetData>
    <row r="1" spans="1:8" x14ac:dyDescent="0.25">
      <c r="A1" t="s">
        <v>21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 s="3">
        <v>2.1127000000000001E-10</v>
      </c>
    </row>
    <row r="3" spans="1:8" x14ac:dyDescent="0.25">
      <c r="A3" t="s">
        <v>14</v>
      </c>
      <c r="C3" s="3">
        <v>2.8038799999999998E-10</v>
      </c>
    </row>
    <row r="4" spans="1:8" x14ac:dyDescent="0.25">
      <c r="A4" t="s">
        <v>3</v>
      </c>
      <c r="D4">
        <v>2.3131006156619822E-12</v>
      </c>
      <c r="E4">
        <v>2.3131006156619822E-12</v>
      </c>
      <c r="F4">
        <v>3.0726636519655662E-12</v>
      </c>
      <c r="G4">
        <v>2.3131006156619822E-12</v>
      </c>
      <c r="H4">
        <v>8.0010944600687525E-12</v>
      </c>
    </row>
    <row r="5" spans="1:8" x14ac:dyDescent="0.25">
      <c r="A5" t="s">
        <v>4</v>
      </c>
      <c r="F5">
        <v>0</v>
      </c>
      <c r="H5">
        <v>1.70538694056134E-12</v>
      </c>
    </row>
    <row r="6" spans="1:8" x14ac:dyDescent="0.25">
      <c r="A6" t="s">
        <v>5</v>
      </c>
      <c r="D6">
        <v>1.5151511319940461E-13</v>
      </c>
      <c r="E6">
        <v>1.5151511319940461E-13</v>
      </c>
      <c r="F6">
        <v>2.0126879820920474E-13</v>
      </c>
      <c r="G6">
        <v>1.5151511319940461E-13</v>
      </c>
      <c r="H6">
        <v>5.2409597949525595E-13</v>
      </c>
    </row>
    <row r="7" spans="1:8" x14ac:dyDescent="0.25">
      <c r="A7" t="s">
        <v>6</v>
      </c>
      <c r="D7">
        <v>3.4050200495820981E-12</v>
      </c>
      <c r="E7">
        <v>3.4050200495820981E-12</v>
      </c>
      <c r="F7">
        <v>4.5231414793301864E-12</v>
      </c>
      <c r="G7">
        <v>3.4050200495820981E-12</v>
      </c>
      <c r="H7">
        <v>1.1778081277859793E-11</v>
      </c>
    </row>
    <row r="8" spans="1:8" x14ac:dyDescent="0.25">
      <c r="A8" t="s">
        <v>7</v>
      </c>
      <c r="D8">
        <v>2.8827352423964281E-13</v>
      </c>
      <c r="E8">
        <v>2.8827352423964281E-13</v>
      </c>
      <c r="F8">
        <f>E8*(F7/E7)</f>
        <v>3.8293517098116755E-13</v>
      </c>
      <c r="G8">
        <v>2.8827352423964281E-13</v>
      </c>
      <c r="H8">
        <f>G8*(H7/G7)</f>
        <v>9.971480194856145E-13</v>
      </c>
    </row>
    <row r="9" spans="1:8" x14ac:dyDescent="0.25">
      <c r="A9" t="s">
        <v>8</v>
      </c>
      <c r="D9">
        <v>1.662306268167813E-15</v>
      </c>
      <c r="E9">
        <v>1.662306268167813E-15</v>
      </c>
      <c r="F9">
        <v>2.2081650984179077E-15</v>
      </c>
      <c r="G9">
        <v>1.662306268167813E-15</v>
      </c>
      <c r="H9">
        <v>5.7499744641971264E-15</v>
      </c>
    </row>
    <row r="10" spans="1:8" x14ac:dyDescent="0.25">
      <c r="A10" t="s">
        <v>9</v>
      </c>
      <c r="F10">
        <v>0</v>
      </c>
      <c r="H10">
        <v>1.162227226793101E-17</v>
      </c>
    </row>
    <row r="11" spans="1:8" x14ac:dyDescent="0.25">
      <c r="A11" t="s">
        <v>10</v>
      </c>
      <c r="D11">
        <v>1.4619426368441511E-10</v>
      </c>
      <c r="E11">
        <v>1.4619426368441511E-10</v>
      </c>
      <c r="F11">
        <v>1.9420071790539662E-10</v>
      </c>
      <c r="G11">
        <v>1.4619426368441511E-10</v>
      </c>
      <c r="H11">
        <v>5.0569097830811203E-10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771E-6221-4A49-8BE3-CC9C45A64B8B}">
  <dimension ref="A1:H11"/>
  <sheetViews>
    <sheetView workbookViewId="0">
      <selection activeCell="J24" sqref="J24"/>
    </sheetView>
  </sheetViews>
  <sheetFormatPr defaultColWidth="11" defaultRowHeight="15.75" x14ac:dyDescent="0.25"/>
  <cols>
    <col min="1" max="1" width="24.125" bestFit="1" customWidth="1"/>
    <col min="6" max="6" width="12.125" bestFit="1" customWidth="1"/>
  </cols>
  <sheetData>
    <row r="1" spans="1:8" x14ac:dyDescent="0.25">
      <c r="A1" t="s">
        <v>22</v>
      </c>
      <c r="B1" t="s">
        <v>13</v>
      </c>
      <c r="C1" t="s">
        <v>14</v>
      </c>
      <c r="D1" t="s">
        <v>0</v>
      </c>
      <c r="E1" t="s">
        <v>11</v>
      </c>
      <c r="F1" t="s">
        <v>1</v>
      </c>
      <c r="G1" t="s">
        <v>12</v>
      </c>
      <c r="H1" t="s">
        <v>2</v>
      </c>
    </row>
    <row r="2" spans="1:8" x14ac:dyDescent="0.25">
      <c r="A2" t="s">
        <v>13</v>
      </c>
      <c r="B2">
        <v>7.5100000000000002E-3</v>
      </c>
    </row>
    <row r="3" spans="1:8" x14ac:dyDescent="0.25">
      <c r="A3" t="s">
        <v>14</v>
      </c>
      <c r="C3">
        <v>1.2359999999999999E-2</v>
      </c>
    </row>
    <row r="4" spans="1:8" x14ac:dyDescent="0.25">
      <c r="A4" t="s">
        <v>3</v>
      </c>
      <c r="D4">
        <v>6.7440594242732754E-6</v>
      </c>
      <c r="E4">
        <v>6.7440594242732754E-6</v>
      </c>
      <c r="F4">
        <v>7.9724135734473013E-6</v>
      </c>
      <c r="G4">
        <v>6.7440594242732754E-6</v>
      </c>
      <c r="H4">
        <v>1.4164647489091173E-5</v>
      </c>
    </row>
    <row r="5" spans="1:8" x14ac:dyDescent="0.25">
      <c r="A5" t="s">
        <v>4</v>
      </c>
      <c r="F5">
        <v>0</v>
      </c>
      <c r="H5">
        <v>2.294003395434179E-6</v>
      </c>
    </row>
    <row r="6" spans="1:8" x14ac:dyDescent="0.25">
      <c r="A6" t="s">
        <v>5</v>
      </c>
      <c r="D6">
        <v>3.3606918830064562E-4</v>
      </c>
      <c r="E6">
        <v>3.3606918830064562E-4</v>
      </c>
      <c r="F6">
        <v>3.9728039002476581E-4</v>
      </c>
      <c r="G6">
        <v>3.3606918830064562E-4</v>
      </c>
      <c r="H6">
        <v>7.0585107347813857E-4</v>
      </c>
    </row>
    <row r="7" spans="1:8" x14ac:dyDescent="0.25">
      <c r="A7" t="s">
        <v>6</v>
      </c>
      <c r="D7">
        <v>4.5802670171097383E-6</v>
      </c>
      <c r="E7">
        <v>4.5802670171097383E-6</v>
      </c>
      <c r="F7">
        <v>5.4145108516972361E-6</v>
      </c>
      <c r="G7">
        <v>4.5802670171097383E-6</v>
      </c>
      <c r="H7">
        <v>9.6200023786506985E-6</v>
      </c>
    </row>
    <row r="8" spans="1:8" x14ac:dyDescent="0.25">
      <c r="A8" t="s">
        <v>7</v>
      </c>
      <c r="D8">
        <v>3.3017629678893641E-8</v>
      </c>
      <c r="E8">
        <v>3.3017629678893641E-8</v>
      </c>
      <c r="F8">
        <f>E8*(F7/E7)</f>
        <v>3.9031417497249181E-8</v>
      </c>
      <c r="G8">
        <v>3.3017629678893641E-8</v>
      </c>
      <c r="H8">
        <f>G8*(H7/G7)</f>
        <v>6.934741465112157E-8</v>
      </c>
    </row>
    <row r="9" spans="1:8" x14ac:dyDescent="0.25">
      <c r="A9" t="s">
        <v>8</v>
      </c>
      <c r="D9">
        <v>6.2384213418759422E-5</v>
      </c>
      <c r="E9">
        <v>6.2384213418759422E-5</v>
      </c>
      <c r="F9">
        <v>7.3746792330814099E-5</v>
      </c>
      <c r="G9">
        <v>6.2384213418759422E-5</v>
      </c>
      <c r="H9">
        <v>1.3102648366064459E-4</v>
      </c>
    </row>
    <row r="10" spans="1:8" x14ac:dyDescent="0.25">
      <c r="A10" t="s">
        <v>9</v>
      </c>
      <c r="F10">
        <v>0</v>
      </c>
      <c r="H10">
        <v>4.3616891030115641E-7</v>
      </c>
    </row>
    <row r="11" spans="1:8" x14ac:dyDescent="0.25">
      <c r="A11" t="s">
        <v>10</v>
      </c>
      <c r="D11">
        <v>9.8995152031742454E-4</v>
      </c>
      <c r="E11">
        <v>9.8995152031742454E-4</v>
      </c>
      <c r="F11">
        <v>1.1702599934436202E-3</v>
      </c>
      <c r="G11">
        <v>9.8995152031742454E-4</v>
      </c>
      <c r="H11">
        <v>2.0792097807022527E-3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Methods</vt:lpstr>
      <vt:lpstr>GWP</vt:lpstr>
      <vt:lpstr>FFC</vt:lpstr>
      <vt:lpstr>WU</vt:lpstr>
      <vt:lpstr>HTC</vt:lpstr>
      <vt:lpstr>HTNC</vt:lpstr>
      <vt:lpstr>ETOX</vt:lpstr>
      <vt:lpstr>ACD</vt:lpstr>
      <vt:lpstr>OZD</vt:lpstr>
      <vt:lpstr>POCP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Granger</dc:creator>
  <cp:lastModifiedBy>ALI ALTAMIMI</cp:lastModifiedBy>
  <dcterms:created xsi:type="dcterms:W3CDTF">2025-06-12T04:34:54Z</dcterms:created>
  <dcterms:modified xsi:type="dcterms:W3CDTF">2026-01-17T04:47:32Z</dcterms:modified>
</cp:coreProperties>
</file>